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wnterryah/Desktop/MM/"/>
    </mc:Choice>
  </mc:AlternateContent>
  <xr:revisionPtr revIDLastSave="0" documentId="13_ncr:1_{EE3F5F70-01AF-DB49-B2B4-59D12DBE6D5B}" xr6:coauthVersionLast="47" xr6:coauthVersionMax="47" xr10:uidLastSave="{00000000-0000-0000-0000-000000000000}"/>
  <bookViews>
    <workbookView xWindow="0" yWindow="500" windowWidth="34900" windowHeight="20660" xr2:uid="{8E71E5FE-DA1A-C643-A554-0224AE91B9AB}"/>
  </bookViews>
  <sheets>
    <sheet name="Actual Results" sheetId="1" r:id="rId1"/>
    <sheet name="Shawn" sheetId="2" r:id="rId2"/>
    <sheet name="Maren" sheetId="18" r:id="rId3"/>
    <sheet name="Elaine" sheetId="22" r:id="rId4"/>
    <sheet name="Colombina" sheetId="8" r:id="rId5"/>
    <sheet name="Roman" sheetId="17" r:id="rId6"/>
    <sheet name="Eli" sheetId="13" r:id="rId7"/>
    <sheet name="Pete" sheetId="20" r:id="rId8"/>
    <sheet name="Arden" sheetId="19" r:id="rId9"/>
    <sheet name="Henny" sheetId="4" r:id="rId10"/>
    <sheet name="Sarah" sheetId="16" r:id="rId11"/>
    <sheet name="Chalamet" sheetId="5" r:id="rId12"/>
    <sheet name="Cynthia" sheetId="15" r:id="rId13"/>
    <sheet name="Tim" sheetId="7" r:id="rId14"/>
    <sheet name="Emma" sheetId="21" r:id="rId15"/>
    <sheet name="Mary" sheetId="12" r:id="rId16"/>
    <sheet name="Chad" sheetId="10" r:id="rId17"/>
    <sheet name="Truett" sheetId="11" r:id="rId18"/>
    <sheet name="Lucia" sheetId="26" r:id="rId19"/>
    <sheet name="Sabine" sheetId="9" r:id="rId20"/>
    <sheet name="Pia" sheetId="27" r:id="rId21"/>
    <sheet name="August" sheetId="25" r:id="rId22"/>
    <sheet name="Penny" sheetId="24" r:id="rId23"/>
    <sheet name="Don" sheetId="29" r:id="rId24"/>
    <sheet name="Indie" sheetId="28" r:id="rId25"/>
    <sheet name="Winter" sheetId="6" r:id="rId26"/>
    <sheet name="Contestant" sheetId="3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J27" i="1" a="1"/>
  <c r="J27" i="1" s="1"/>
  <c r="J26" i="1" a="1"/>
  <c r="J26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O6" i="1" a="1"/>
  <c r="O6" i="1" s="1"/>
  <c r="N6" i="1" a="1"/>
  <c r="N6" i="1" s="1"/>
  <c r="M6" i="1" a="1"/>
  <c r="M6" i="1" s="1"/>
  <c r="L6" i="1" a="1"/>
  <c r="L6" i="1" s="1"/>
  <c r="K6" i="1" a="1"/>
  <c r="K6" i="1" s="1"/>
  <c r="J6" i="1" a="1"/>
  <c r="J6" i="1" s="1"/>
  <c r="O14" i="1" a="1"/>
  <c r="O14" i="1" s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K11" i="1" a="1"/>
  <c r="K11" i="1" s="1"/>
  <c r="L11" i="1" a="1"/>
  <c r="L11" i="1" s="1"/>
  <c r="M11" i="1" a="1"/>
  <c r="M11" i="1" s="1"/>
  <c r="N11" i="1" a="1"/>
  <c r="N11" i="1" s="1"/>
  <c r="O11" i="1" a="1"/>
  <c r="O11" i="1" s="1"/>
  <c r="K10" i="1" a="1"/>
  <c r="K10" i="1" s="1"/>
  <c r="L10" i="1" a="1"/>
  <c r="L10" i="1" s="1"/>
  <c r="M10" i="1" a="1"/>
  <c r="M10" i="1" s="1"/>
  <c r="N10" i="1" a="1"/>
  <c r="N10" i="1" s="1"/>
  <c r="O10" i="1" a="1"/>
  <c r="O10" i="1" s="1"/>
  <c r="K9" i="1" a="1"/>
  <c r="K9" i="1" s="1"/>
  <c r="L9" i="1" a="1"/>
  <c r="L9" i="1" s="1"/>
  <c r="M9" i="1" a="1"/>
  <c r="M9" i="1" s="1"/>
  <c r="N9" i="1" a="1"/>
  <c r="N9" i="1" s="1"/>
  <c r="O9" i="1" a="1"/>
  <c r="O9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K7" i="1" a="1"/>
  <c r="K7" i="1" s="1"/>
  <c r="L7" i="1" a="1"/>
  <c r="L7" i="1" s="1"/>
  <c r="M7" i="1" a="1"/>
  <c r="M7" i="1" s="1"/>
  <c r="N7" i="1" a="1"/>
  <c r="N7" i="1" s="1"/>
  <c r="O7" i="1" a="1"/>
  <c r="O7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J25" i="1" a="1"/>
  <c r="J25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5" i="1" a="1"/>
  <c r="J5" i="1" s="1"/>
  <c r="K4" i="1" a="1"/>
  <c r="K4" i="1" s="1"/>
  <c r="L4" i="1" a="1"/>
  <c r="L4" i="1" s="1"/>
  <c r="M4" i="1" a="1"/>
  <c r="M4" i="1" s="1"/>
  <c r="N4" i="1" a="1"/>
  <c r="N4" i="1" s="1"/>
  <c r="O4" i="1" a="1"/>
  <c r="O4" i="1" s="1"/>
  <c r="J4" i="1" a="1"/>
  <c r="J4" i="1" s="1"/>
  <c r="P28" i="1" l="1"/>
  <c r="P27" i="1"/>
  <c r="P24" i="1"/>
  <c r="P12" i="1"/>
  <c r="P15" i="1"/>
  <c r="P21" i="1"/>
  <c r="P20" i="1"/>
  <c r="P11" i="1"/>
  <c r="P23" i="1"/>
  <c r="P10" i="1"/>
  <c r="P22" i="1"/>
  <c r="P13" i="1"/>
  <c r="P25" i="1"/>
  <c r="P17" i="1"/>
  <c r="P8" i="1"/>
  <c r="P6" i="1"/>
  <c r="P18" i="1"/>
  <c r="P16" i="1"/>
  <c r="P5" i="1"/>
  <c r="P14" i="1"/>
  <c r="P26" i="1"/>
  <c r="P9" i="1"/>
  <c r="P7" i="1"/>
  <c r="P19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<sst xmlns="http://schemas.openxmlformats.org/spreadsheetml/2006/main" count="3574" uniqueCount="156">
  <si>
    <t>(1) Houston</t>
  </si>
  <si>
    <t>Round of 64</t>
  </si>
  <si>
    <t>Round of 32</t>
  </si>
  <si>
    <t>Sweet 16</t>
  </si>
  <si>
    <t>Elite 8</t>
  </si>
  <si>
    <t>Final 4</t>
  </si>
  <si>
    <t>Championship</t>
  </si>
  <si>
    <t>Winner</t>
  </si>
  <si>
    <t>Shawn</t>
  </si>
  <si>
    <t>Truett</t>
  </si>
  <si>
    <t>Mary</t>
  </si>
  <si>
    <t>Chad</t>
  </si>
  <si>
    <t>Tim</t>
  </si>
  <si>
    <t>Cynthia</t>
  </si>
  <si>
    <t>Don</t>
  </si>
  <si>
    <t>Eli</t>
  </si>
  <si>
    <t>Emma</t>
  </si>
  <si>
    <t>Maren</t>
  </si>
  <si>
    <t>Pete</t>
  </si>
  <si>
    <t>Roman</t>
  </si>
  <si>
    <t>Sarah</t>
  </si>
  <si>
    <t>Elaine</t>
  </si>
  <si>
    <t>August</t>
  </si>
  <si>
    <t>Pia</t>
  </si>
  <si>
    <t>Total Points</t>
  </si>
  <si>
    <t>Correct Pick Value</t>
  </si>
  <si>
    <t>Contestant</t>
  </si>
  <si>
    <t>(13) Yale</t>
  </si>
  <si>
    <t>(6) BYU</t>
  </si>
  <si>
    <t>(3) Kentucky</t>
  </si>
  <si>
    <t>(12) McNeese</t>
  </si>
  <si>
    <t>(2) Tennessee</t>
  </si>
  <si>
    <t>Colombina</t>
  </si>
  <si>
    <t>Sabine</t>
  </si>
  <si>
    <t>Penny</t>
  </si>
  <si>
    <t>(1) Auburn</t>
  </si>
  <si>
    <t>(16) Alabama St</t>
  </si>
  <si>
    <t>(8) Louisville</t>
  </si>
  <si>
    <t>(9) Creighton</t>
  </si>
  <si>
    <t>(5) Michigan</t>
  </si>
  <si>
    <t>(12) UC San Diego</t>
  </si>
  <si>
    <t>(4) Texas A&amp;M</t>
  </si>
  <si>
    <t>(6) Ole Miss</t>
  </si>
  <si>
    <t>(11) North Carolina</t>
  </si>
  <si>
    <t>(3) Iowa State</t>
  </si>
  <si>
    <t>(14) Lipscomb</t>
  </si>
  <si>
    <t>(7) Marquette</t>
  </si>
  <si>
    <t>(10) New Mexico</t>
  </si>
  <si>
    <t>(2) Michigan St</t>
  </si>
  <si>
    <t>(15) Bryant</t>
  </si>
  <si>
    <t>(1) Florida</t>
  </si>
  <si>
    <t>(16) Norfolk St</t>
  </si>
  <si>
    <t>(9) Oklahoma</t>
  </si>
  <si>
    <t>(5) Memphis</t>
  </si>
  <si>
    <t>(12) Colorado St</t>
  </si>
  <si>
    <t>(4) Maryland</t>
  </si>
  <si>
    <t>(13) Grand Canyon</t>
  </si>
  <si>
    <t>(6) Missouri</t>
  </si>
  <si>
    <t>(11) Drake</t>
  </si>
  <si>
    <t>(3) Texas Tech</t>
  </si>
  <si>
    <t>(14) UNC Wilmington</t>
  </si>
  <si>
    <t>(7) Kansas</t>
  </si>
  <si>
    <t>(10) Arkansas</t>
  </si>
  <si>
    <t>(2) St John's</t>
  </si>
  <si>
    <t>(15) Omaha</t>
  </si>
  <si>
    <t>(1) Duke</t>
  </si>
  <si>
    <t>(8) Mississippi St</t>
  </si>
  <si>
    <t>(9) Baylor</t>
  </si>
  <si>
    <t>(5) Oregon</t>
  </si>
  <si>
    <t>(12) Liberty</t>
  </si>
  <si>
    <t>(4) Arizona</t>
  </si>
  <si>
    <t>(13) Akron</t>
  </si>
  <si>
    <t>(11) VCU</t>
  </si>
  <si>
    <t>(3) Wisconsin</t>
  </si>
  <si>
    <t>(14) Montana</t>
  </si>
  <si>
    <t>(7) Saint Mary's</t>
  </si>
  <si>
    <t>(10) Vanderbilt</t>
  </si>
  <si>
    <t>(2) Alabama</t>
  </si>
  <si>
    <t>(15) Robert Morris</t>
  </si>
  <si>
    <t>(16) SIUE</t>
  </si>
  <si>
    <t>(8) Gonzaga</t>
  </si>
  <si>
    <t>(9) Georgia</t>
  </si>
  <si>
    <t>(5) Clemson</t>
  </si>
  <si>
    <t>(4) Purdue</t>
  </si>
  <si>
    <t>(13) High Point</t>
  </si>
  <si>
    <t>(6) Illinois</t>
  </si>
  <si>
    <t>**(11) TEX/XAV</t>
  </si>
  <si>
    <t>**(16) AMER/MSM</t>
  </si>
  <si>
    <t>(14) Troy</t>
  </si>
  <si>
    <t>(7) UCLA</t>
  </si>
  <si>
    <t>(10) Utah State</t>
  </si>
  <si>
    <t>(15) Wofford</t>
  </si>
  <si>
    <t>(8) UConn</t>
  </si>
  <si>
    <t>Indie</t>
  </si>
  <si>
    <t>(16) Siena</t>
  </si>
  <si>
    <t>(8) Ohio St</t>
  </si>
  <si>
    <t>(9) TCU</t>
  </si>
  <si>
    <t>(5) St. John's</t>
  </si>
  <si>
    <t>(12) N. Iowa</t>
  </si>
  <si>
    <t>(4) Kansas</t>
  </si>
  <si>
    <t>(13) Cal Baptist</t>
  </si>
  <si>
    <t>(6) Louisville</t>
  </si>
  <si>
    <t>(11) South Florida</t>
  </si>
  <si>
    <t>(3) Michigan St</t>
  </si>
  <si>
    <t>(14) N. Dakota St</t>
  </si>
  <si>
    <t>(10) UCF</t>
  </si>
  <si>
    <t>(15) Furman</t>
  </si>
  <si>
    <t>(8) Clemson</t>
  </si>
  <si>
    <t>(9) Iowa</t>
  </si>
  <si>
    <t>(5) Vanderbilt</t>
  </si>
  <si>
    <t>(4) Nebraska</t>
  </si>
  <si>
    <t>(13) Troy</t>
  </si>
  <si>
    <t>(6) N. Carolina</t>
  </si>
  <si>
    <t>(3) Illinois</t>
  </si>
  <si>
    <t>(14) Penn</t>
  </si>
  <si>
    <t>(10) Texas A&amp;M</t>
  </si>
  <si>
    <t>(2) Houston</t>
  </si>
  <si>
    <t>(15) Idaho</t>
  </si>
  <si>
    <t>(1) Arizona</t>
  </si>
  <si>
    <t>(8) Villanova</t>
  </si>
  <si>
    <t>(9) Utah St</t>
  </si>
  <si>
    <t>(5) Wisconsin</t>
  </si>
  <si>
    <t>(12) High Point</t>
  </si>
  <si>
    <t>(4) Arkansas</t>
  </si>
  <si>
    <t>(13) Hawaii</t>
  </si>
  <si>
    <t>(11) Texas</t>
  </si>
  <si>
    <t>(3) Gonzaga</t>
  </si>
  <si>
    <t>(14) Kennesaw St</t>
  </si>
  <si>
    <t>(7) Miami</t>
  </si>
  <si>
    <t>(10) Missouri</t>
  </si>
  <si>
    <t>(2) Purdue</t>
  </si>
  <si>
    <t>(15) Queens</t>
  </si>
  <si>
    <t>(1) Michigan</t>
  </si>
  <si>
    <t>(16) Howard</t>
  </si>
  <si>
    <t>(8) Georgia</t>
  </si>
  <si>
    <t>(9) Saint Louis</t>
  </si>
  <si>
    <t>(5) Texas Tech</t>
  </si>
  <si>
    <t>(12) Akron</t>
  </si>
  <si>
    <t>(4) Alabama</t>
  </si>
  <si>
    <t>(13) Hofstra</t>
  </si>
  <si>
    <t>(6) Tennessee</t>
  </si>
  <si>
    <t>**(11) MIAOH/SMU</t>
  </si>
  <si>
    <t>(3) Virginia</t>
  </si>
  <si>
    <t>(14) Wright St</t>
  </si>
  <si>
    <t>(7) Kentucky</t>
  </si>
  <si>
    <t>(10) Santa Clara</t>
  </si>
  <si>
    <t>(2) Iowa St</t>
  </si>
  <si>
    <t>(15) Tenn. State</t>
  </si>
  <si>
    <t>**(16) PVAM/LEH</t>
  </si>
  <si>
    <t>(2) UConn</t>
  </si>
  <si>
    <t xml:space="preserve">(16) LIU </t>
  </si>
  <si>
    <t>Henny</t>
  </si>
  <si>
    <t>Chalamet</t>
  </si>
  <si>
    <t>Lucia</t>
  </si>
  <si>
    <t>Arden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</si>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</sst>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9E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3A3C-5930-B24B-84BC-705B88F5939F}">
  <dimension ref="A1:P65"/>
  <sheetViews>
    <sheetView tabSelected="1" topLeftCell="A6" zoomScale="80" zoomScaleNormal="80" workbookViewId="0">
      <selection activeCell="I9" sqref="I9"/>
    </sheetView>
  </sheetViews>
  <sheetFormatPr baseColWidth="10" defaultRowHeight="16" x14ac:dyDescent="0.2"/>
  <cols>
    <col min="1" max="1" width="33.33203125" bestFit="1" customWidth="1"/>
    <col min="2" max="2" width="32" bestFit="1" customWidth="1"/>
    <col min="3" max="5" width="14.33203125" bestFit="1" customWidth="1"/>
    <col min="6" max="6" width="12.6640625" bestFit="1" customWidth="1"/>
    <col min="7" max="7" width="18.6640625" customWidth="1"/>
    <col min="9" max="9" width="17.5" customWidth="1"/>
    <col min="10" max="10" width="12.33203125" customWidth="1"/>
    <col min="11" max="11" width="12" customWidth="1"/>
    <col min="15" max="15" width="15.6640625" customWidth="1"/>
  </cols>
  <sheetData>
    <row r="1" spans="1:1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16" x14ac:dyDescent="0.2">
      <c r="A2" s="1" t="s">
        <v>65</v>
      </c>
      <c r="B2" s="1" t="s">
        <v>65</v>
      </c>
      <c r="C2" s="1" t="s">
        <v>65</v>
      </c>
      <c r="I2" s="6" t="s">
        <v>25</v>
      </c>
      <c r="J2" s="6">
        <v>10</v>
      </c>
      <c r="K2" s="6">
        <v>20</v>
      </c>
      <c r="L2" s="6">
        <v>40</v>
      </c>
      <c r="M2" s="6">
        <v>80</v>
      </c>
      <c r="N2" s="6">
        <v>160</v>
      </c>
      <c r="O2" s="6">
        <v>320</v>
      </c>
      <c r="P2" s="6"/>
    </row>
    <row r="3" spans="1:16" x14ac:dyDescent="0.2">
      <c r="A3" s="1" t="s">
        <v>94</v>
      </c>
      <c r="I3" s="7" t="s">
        <v>26</v>
      </c>
      <c r="J3" s="7" t="s">
        <v>1</v>
      </c>
      <c r="K3" s="7" t="s">
        <v>2</v>
      </c>
      <c r="L3" s="7" t="s">
        <v>3</v>
      </c>
      <c r="M3" s="7" t="s">
        <v>4</v>
      </c>
      <c r="N3" s="7" t="s">
        <v>5</v>
      </c>
      <c r="O3" s="7" t="s">
        <v>6</v>
      </c>
      <c r="P3" s="7" t="s">
        <v>24</v>
      </c>
    </row>
    <row r="4" spans="1:16" x14ac:dyDescent="0.2">
      <c r="A4" s="1" t="s">
        <v>95</v>
      </c>
      <c r="I4" s="5" t="s">
        <v>8</v>
      </c>
      <c r="J4" cm="1">
        <f t="array" ref="J4">(SUMPRODUCT(--(B2:B65&lt;&gt;""), --(B2:B65=Shawn!B2:B65)) * J2)</f>
        <v>260</v>
      </c>
      <c r="K4" cm="1">
        <f t="array" ref="K4">(SUMPRODUCT(--(C2:C65&lt;&gt;""), --(C2:C65=Shawn!C2:C65)) * K2)</f>
        <v>180</v>
      </c>
      <c r="L4" cm="1">
        <f t="array" ref="L4">(SUMPRODUCT(--(D2:D65&lt;&gt;""), --(D2:D65=Shawn!D2:D65)) * L2)</f>
        <v>0</v>
      </c>
      <c r="M4" cm="1">
        <f t="array" ref="M4">(SUMPRODUCT(--(E2:E65&lt;&gt;""), --(E2:E65=Shawn!E2:E65)) * M2)</f>
        <v>0</v>
      </c>
      <c r="N4" cm="1">
        <f t="array" ref="N4">(SUMPRODUCT(--(F2:F65&lt;&gt;""), --(F2:F65=Shawn!F2:F65)) * N2)</f>
        <v>0</v>
      </c>
      <c r="O4" cm="1">
        <f t="array" ref="O4">(SUMPRODUCT(--(G2:G65&lt;&gt;""), --(G2:G65=Shawn!G2:G65)) * O2)</f>
        <v>0</v>
      </c>
      <c r="P4">
        <f>SUM(J4:O4)</f>
        <v>440</v>
      </c>
    </row>
    <row r="5" spans="1:16" x14ac:dyDescent="0.2">
      <c r="A5" s="1" t="s">
        <v>96</v>
      </c>
      <c r="B5" s="1" t="s">
        <v>96</v>
      </c>
      <c r="I5" s="8" t="s">
        <v>151</v>
      </c>
      <c r="J5" s="9" cm="1">
        <f t="array" ref="J5">(SUMPRODUCT(--(B2:B65&lt;&gt;""), --(B2:B65=Henny!B2:B65)) * J2)</f>
        <v>240</v>
      </c>
      <c r="K5" s="9" cm="1">
        <f t="array" ref="K5">(SUMPRODUCT(--(C2:C65&lt;&gt;""), --(C2:C65=Henny!C2:C65)) * K2)</f>
        <v>220</v>
      </c>
      <c r="L5" s="9" cm="1">
        <f t="array" ref="L5">(SUMPRODUCT(--(D2:D65&lt;&gt;""), --(D2:D65=Henny!D2:D65)) * L2)</f>
        <v>0</v>
      </c>
      <c r="M5" s="9" cm="1">
        <f t="array" ref="M5">(SUMPRODUCT(--(E2:E65&lt;&gt;""), --(E2:E65=Henny!E2:E65)) * M2)</f>
        <v>0</v>
      </c>
      <c r="N5" s="9" cm="1">
        <f t="array" ref="N5">(SUMPRODUCT(--(F2:F65&lt;&gt;""), --(F2:F65=Henny!F2:F65)) * N2)</f>
        <v>0</v>
      </c>
      <c r="O5" s="9" cm="1">
        <f t="array" ref="O5">(SUMPRODUCT(--(G2:G65&lt;&gt;""), --(G2:G65=Henny!G2:G65)) * O2)</f>
        <v>0</v>
      </c>
      <c r="P5" s="9">
        <f t="shared" ref="P5:P26" si="0">SUM(J5:O5)</f>
        <v>460</v>
      </c>
    </row>
    <row r="6" spans="1:16" x14ac:dyDescent="0.2">
      <c r="A6" s="1" t="s">
        <v>97</v>
      </c>
      <c r="B6" s="1" t="s">
        <v>97</v>
      </c>
      <c r="C6" s="1" t="s">
        <v>97</v>
      </c>
      <c r="I6" s="5" t="s">
        <v>153</v>
      </c>
      <c r="J6" cm="1">
        <f t="array" ref="J6">(SUMPRODUCT(--(B2:B65&lt;&gt;""), --(B2:B65=Lucia!B2:B65)) * J2)</f>
        <v>240</v>
      </c>
      <c r="K6" cm="1">
        <f t="array" ref="K6">(SUMPRODUCT(--(C2:C65&lt;&gt;""), --(C2:C65=Lucia!C2:C65)) * K2)</f>
        <v>160</v>
      </c>
      <c r="L6" cm="1">
        <f t="array" ref="L6">(SUMPRODUCT(--(D2:D65&lt;&gt;""), --(D2:D65=Lucia!D2:D65)) * L2)</f>
        <v>0</v>
      </c>
      <c r="M6" cm="1">
        <f t="array" ref="M6">(SUMPRODUCT(--(E2:E65&lt;&gt;""), --(E2:E65=Lucia!E2:E65)) * M2)</f>
        <v>0</v>
      </c>
      <c r="N6" cm="1">
        <f t="array" ref="N6">(SUMPRODUCT(--(F2:F65&lt;&gt;""), --(F2:F65=Lucia!F2:F65)) * N2)</f>
        <v>0</v>
      </c>
      <c r="O6" cm="1">
        <f t="array" ref="O6">(SUMPRODUCT(--(G2:G65&lt;&gt;""), --(G2:G65=Lucia!G2:G65)) * O2)</f>
        <v>0</v>
      </c>
      <c r="P6">
        <f t="shared" si="0"/>
        <v>400</v>
      </c>
    </row>
    <row r="7" spans="1:16" x14ac:dyDescent="0.2">
      <c r="A7" s="1" t="s">
        <v>98</v>
      </c>
      <c r="I7" s="8" t="s">
        <v>10</v>
      </c>
      <c r="J7" s="9" cm="1">
        <f t="array" ref="J7">(SUMPRODUCT(--(B2:B65&lt;&gt;""), --(B2:B65=Mary!B2:B65)) * J2)</f>
        <v>250</v>
      </c>
      <c r="K7" s="9" cm="1">
        <f t="array" ref="K7">(SUMPRODUCT(--(C2:C65&lt;&gt;""), --(C2:C65=Mary!C2:C65)) * K2)</f>
        <v>180</v>
      </c>
      <c r="L7" s="9" cm="1">
        <f t="array" ref="L7">(SUMPRODUCT(--(D2:D65&lt;&gt;""), --(D2:D65=Mary!D2:D65)) * L2)</f>
        <v>0</v>
      </c>
      <c r="M7" s="9" cm="1">
        <f t="array" ref="M7">(SUMPRODUCT(--(E2:E65&lt;&gt;""), --(E2:E65=Mary!E2:E65)) * M2)</f>
        <v>0</v>
      </c>
      <c r="N7" s="9" cm="1">
        <f t="array" ref="N7">(SUMPRODUCT(--(F2:F65&lt;&gt;""), --(F2:F65=Mary!F2:F65)) * N2)</f>
        <v>0</v>
      </c>
      <c r="O7" s="9" cm="1">
        <f t="array" ref="O7">(SUMPRODUCT(--(G2:G65&lt;&gt;""), --(G2:G65=Mary!G2:G65)) * O2)</f>
        <v>0</v>
      </c>
      <c r="P7" s="9">
        <f t="shared" si="0"/>
        <v>430</v>
      </c>
    </row>
    <row r="8" spans="1:16" x14ac:dyDescent="0.2">
      <c r="A8" s="1" t="s">
        <v>99</v>
      </c>
      <c r="B8" s="1" t="s">
        <v>99</v>
      </c>
      <c r="I8" s="5" t="s">
        <v>11</v>
      </c>
      <c r="J8" cm="1">
        <f t="array" ref="J8">(SUMPRODUCT(--(B2:B65&lt;&gt;""), --(B2:B65=Chad!B2:B65)) * J2)</f>
        <v>260</v>
      </c>
      <c r="K8" cm="1">
        <f t="array" ref="K8">(SUMPRODUCT(--(C2:C65&lt;&gt;""), --(C2:C65=Chad!C2:C65)) * K2)</f>
        <v>220</v>
      </c>
      <c r="L8" cm="1">
        <f t="array" ref="L8">(SUMPRODUCT(--(D2:D65&lt;&gt;""), --(D2:D65=Chad!D2:D65)) * L2)</f>
        <v>0</v>
      </c>
      <c r="M8" cm="1">
        <f t="array" ref="M8">(SUMPRODUCT(--(E2:E65&lt;&gt;""), --(E2:E65=Chad!E2:E65)) * M2)</f>
        <v>0</v>
      </c>
      <c r="N8" cm="1">
        <f t="array" ref="N8">(SUMPRODUCT(--(F2:F65&lt;&gt;""), --(F2:F65=Chad!F2:F65)) * N2)</f>
        <v>0</v>
      </c>
      <c r="O8" cm="1">
        <f t="array" ref="O8">(SUMPRODUCT(--(G2:G65&lt;&gt;""), --(G2:G65=Chad!G2:G65)) * O2)</f>
        <v>0</v>
      </c>
      <c r="P8">
        <f t="shared" si="0"/>
        <v>480</v>
      </c>
    </row>
    <row r="9" spans="1:16" x14ac:dyDescent="0.2">
      <c r="A9" s="1" t="s">
        <v>100</v>
      </c>
      <c r="I9" s="8" t="s">
        <v>9</v>
      </c>
      <c r="J9" s="9" cm="1">
        <f t="array" ref="J9">(SUMPRODUCT(--(B2:B65&lt;&gt;""), --(B2:B65=Truett!B2:B65)) * J2)</f>
        <v>280</v>
      </c>
      <c r="K9" s="9" cm="1">
        <f t="array" ref="K9">(SUMPRODUCT(--(C2:C65&lt;&gt;""), --(C2:C65=Truett!C2:C65)) * K2)</f>
        <v>240</v>
      </c>
      <c r="L9" s="9" cm="1">
        <f t="array" ref="L9">(SUMPRODUCT(--(D2:D65&lt;&gt;""), --(D2:D65=Truett!D2:D65)) * L2)</f>
        <v>0</v>
      </c>
      <c r="M9" s="9" cm="1">
        <f t="array" ref="M9">(SUMPRODUCT(--(E2:E65&lt;&gt;""), --(E2:E65=Truett!E2:E65)) * M2)</f>
        <v>0</v>
      </c>
      <c r="N9" s="9" cm="1">
        <f t="array" ref="N9">(SUMPRODUCT(--(F2:F65&lt;&gt;""), --(F2:F65=Truett!F2:F65)) * N2)</f>
        <v>0</v>
      </c>
      <c r="O9" s="9" cm="1">
        <f t="array" ref="O9">(SUMPRODUCT(--(G2:G65&lt;&gt;""), --(G2:G65=Truett!G2:G65)) * O2)</f>
        <v>0</v>
      </c>
      <c r="P9" s="9">
        <f t="shared" si="0"/>
        <v>520</v>
      </c>
    </row>
    <row r="10" spans="1:16" x14ac:dyDescent="0.2">
      <c r="A10" s="1" t="s">
        <v>101</v>
      </c>
      <c r="B10" s="1" t="s">
        <v>101</v>
      </c>
      <c r="I10" s="5" t="s">
        <v>33</v>
      </c>
      <c r="J10" cm="1">
        <f t="array" ref="J10">(SUMPRODUCT(--(B2:B65&lt;&gt;""), --(B2:B65=Sabine!B2:B65)) * J2)</f>
        <v>210</v>
      </c>
      <c r="K10" cm="1">
        <f t="array" ref="K10">(SUMPRODUCT(--(C2:C65&lt;&gt;""), --(C2:C65=Sabine!C2:C65)) * K2)</f>
        <v>160</v>
      </c>
      <c r="L10" cm="1">
        <f t="array" ref="L10">(SUMPRODUCT(--(D2:D65&lt;&gt;""), --(D2:D65=Sabine!D2:D65)) * L2)</f>
        <v>0</v>
      </c>
      <c r="M10" cm="1">
        <f t="array" ref="M10">(SUMPRODUCT(--(E2:E65&lt;&gt;""), --(E2:E65=Sabine!E2:E65)) * M2)</f>
        <v>0</v>
      </c>
      <c r="N10" cm="1">
        <f t="array" ref="N10">(SUMPRODUCT(--(F2:F65&lt;&gt;""), --(F2:F65=Sabine!F2:F65)) * N2)</f>
        <v>0</v>
      </c>
      <c r="O10" cm="1">
        <f t="array" ref="O10">(SUMPRODUCT(--(G2:G65&lt;&gt;""), --(G2:G65=Sabine!G2:G65)) * O2)</f>
        <v>0</v>
      </c>
      <c r="P10">
        <f t="shared" si="0"/>
        <v>370</v>
      </c>
    </row>
    <row r="11" spans="1:16" x14ac:dyDescent="0.2">
      <c r="A11" s="1" t="s">
        <v>102</v>
      </c>
      <c r="I11" s="8" t="s">
        <v>12</v>
      </c>
      <c r="J11" s="9" cm="1">
        <f t="array" ref="J11">(SUMPRODUCT(--(B2:B65&lt;&gt;""), --(B2:B65=Tim!B2:B65)) * J2)</f>
        <v>270</v>
      </c>
      <c r="K11" s="9" cm="1">
        <f t="array" ref="K11">(SUMPRODUCT(--(C2:C65&lt;&gt;""), --(C2:C65=Tim!C2:C65)) * K2)</f>
        <v>220</v>
      </c>
      <c r="L11" s="9" cm="1">
        <f t="array" ref="L11">(SUMPRODUCT(--(D2:D65&lt;&gt;""), --(D2:D65=Tim!D2:D65)) * L2)</f>
        <v>0</v>
      </c>
      <c r="M11" s="9" cm="1">
        <f t="array" ref="M11">(SUMPRODUCT(--(E2:E65&lt;&gt;""), --(E2:E65=Tim!E2:E65)) * M2)</f>
        <v>0</v>
      </c>
      <c r="N11" s="9" cm="1">
        <f t="array" ref="N11">(SUMPRODUCT(--(F2:F65&lt;&gt;""), --(F2:F65=Tim!F2:F65)) * N2)</f>
        <v>0</v>
      </c>
      <c r="O11" s="9" cm="1">
        <f t="array" ref="O11">(SUMPRODUCT(--(G2:G65&lt;&gt;""), --(G2:G65=Tim!G2:G65)) * O2)</f>
        <v>0</v>
      </c>
      <c r="P11" s="9">
        <f t="shared" si="0"/>
        <v>490</v>
      </c>
    </row>
    <row r="12" spans="1:16" x14ac:dyDescent="0.2">
      <c r="A12" s="1" t="s">
        <v>103</v>
      </c>
      <c r="B12" s="1" t="s">
        <v>103</v>
      </c>
      <c r="C12" s="1" t="s">
        <v>103</v>
      </c>
      <c r="I12" s="5" t="s">
        <v>32</v>
      </c>
      <c r="J12" cm="1">
        <f t="array" ref="J12">(SUMPRODUCT(--(B2:B65&lt;&gt;""), --(B2:B65=Colombina!B2:B65)) * J2)</f>
        <v>260</v>
      </c>
      <c r="K12" cm="1">
        <f t="array" ref="K12">(SUMPRODUCT(--(C2:C65&lt;&gt;""), --(C2:C65=Colombina!C2:C65)) * K2)</f>
        <v>180</v>
      </c>
      <c r="L12" cm="1">
        <f t="array" ref="L12">(SUMPRODUCT(--(D2:D65&lt;&gt;""), --(D2:D65=Colombina!D2:D65)) * L2)</f>
        <v>0</v>
      </c>
      <c r="M12" cm="1">
        <f t="array" ref="M12">(SUMPRODUCT(--(E2:E65&lt;&gt;""), --(E2:E65=Colombina!E2:E65)) * M2)</f>
        <v>0</v>
      </c>
      <c r="N12" cm="1">
        <f t="array" ref="N12">(SUMPRODUCT(--(F2:F65&lt;&gt;""), --(F2:F65=Colombina!F2:F65)) * N2)</f>
        <v>0</v>
      </c>
      <c r="O12" cm="1">
        <f t="array" ref="O12">(SUMPRODUCT(--(G2:G65&lt;&gt;""), --(G2:G65=Colombina!G2:G65)) * O2)</f>
        <v>0</v>
      </c>
      <c r="P12">
        <f t="shared" si="0"/>
        <v>440</v>
      </c>
    </row>
    <row r="13" spans="1:16" x14ac:dyDescent="0.2">
      <c r="A13" s="1" t="s">
        <v>104</v>
      </c>
      <c r="I13" s="8" t="s">
        <v>13</v>
      </c>
      <c r="J13" s="9" cm="1">
        <f t="array" ref="J13">(SUMPRODUCT(--(B2:B65&lt;&gt;""), --(B2:B65=Cynthia!B2:B65)) * J2)</f>
        <v>260</v>
      </c>
      <c r="K13" s="9" cm="1">
        <f t="array" ref="K13">(SUMPRODUCT(--(C2:C65&lt;&gt;""), --(C2:C65=Cynthia!C2:C65)) * K2)</f>
        <v>200</v>
      </c>
      <c r="L13" s="9" cm="1">
        <f t="array" ref="L13">(SUMPRODUCT(--(D2:D65&lt;&gt;""), --(D2:D65=Cynthia!D2:D65)) * L2)</f>
        <v>0</v>
      </c>
      <c r="M13" s="9" cm="1">
        <f t="array" ref="M13">(SUMPRODUCT(--(E2:E65&lt;&gt;""), --(E2:E65=Cynthia!E2:E65)) * M2)</f>
        <v>0</v>
      </c>
      <c r="N13" s="9" cm="1">
        <f t="array" ref="N13">(SUMPRODUCT(--(F2:F65&lt;&gt;""), --(F2:F65=Cynthia!F2:F65)) * N2)</f>
        <v>0</v>
      </c>
      <c r="O13" s="9" cm="1">
        <f t="array" ref="O13">(SUMPRODUCT(--(G2:G65&lt;&gt;""), --(G2:G65=Cynthia!G2:G65)) * O2)</f>
        <v>0</v>
      </c>
      <c r="P13" s="9">
        <f t="shared" si="0"/>
        <v>460</v>
      </c>
    </row>
    <row r="14" spans="1:16" x14ac:dyDescent="0.2">
      <c r="A14" s="1" t="s">
        <v>89</v>
      </c>
      <c r="B14" s="1" t="s">
        <v>89</v>
      </c>
      <c r="I14" s="5" t="s">
        <v>152</v>
      </c>
      <c r="J14" cm="1">
        <f t="array" ref="J14">(SUMPRODUCT(--(B2:B65&lt;&gt;""), --(B2:B65=Chalamet!B2:B65)) * J2)</f>
        <v>240</v>
      </c>
      <c r="K14" cm="1">
        <f t="array" ref="K14">(SUMPRODUCT(--(C2:C65&lt;&gt;""), --(C2:C65=Chalamet!C2:C65)) * K2)</f>
        <v>40</v>
      </c>
      <c r="L14" cm="1">
        <f t="array" ref="L14">(SUMPRODUCT(--(D2:D65&lt;&gt;""), --(D2:D65=Chalamet!D2:D65)) * L2)</f>
        <v>0</v>
      </c>
      <c r="M14" cm="1">
        <f t="array" ref="M14">(SUMPRODUCT(--(E2:E65&lt;&gt;""), --(E2:E65=Chalamet!E2:E65)) * M2)</f>
        <v>0</v>
      </c>
      <c r="N14" cm="1">
        <f t="array" ref="N14">(SUMPRODUCT(--(F2:F65&lt;&gt;""), --(F2:F65=Chalamet!F2:F65)) * N2)</f>
        <v>0</v>
      </c>
      <c r="O14" cm="1">
        <f t="array" ref="O14">(SUMPRODUCT(--(G2:G65&lt;&gt;""), --(G2:G65=Chalamet!G2:G65)) * O2)</f>
        <v>0</v>
      </c>
      <c r="P14">
        <f t="shared" si="0"/>
        <v>280</v>
      </c>
    </row>
    <row r="15" spans="1:16" x14ac:dyDescent="0.2">
      <c r="A15" s="1" t="s">
        <v>105</v>
      </c>
      <c r="I15" s="8" t="s">
        <v>15</v>
      </c>
      <c r="J15" s="9" cm="1">
        <f t="array" ref="J15">(SUMPRODUCT(--(B2:B65&lt;&gt;""), --(B2:B65=Eli!B2:B65)) * J2)</f>
        <v>270</v>
      </c>
      <c r="K15" s="9" cm="1">
        <f t="array" ref="K15">(SUMPRODUCT(--(C2:C65&lt;&gt;""), --(C2:C65=Eli!C2:C65)) * K2)</f>
        <v>220</v>
      </c>
      <c r="L15" s="9" cm="1">
        <f t="array" ref="L15">(SUMPRODUCT(--(D2:D65&lt;&gt;""), --(D2:D65=Eli!D2:D65)) * L2)</f>
        <v>0</v>
      </c>
      <c r="M15" s="9" cm="1">
        <f t="array" ref="M15">(SUMPRODUCT(--(E2:E65&lt;&gt;""), --(E2:E65=Eli!E2:E65)) * M2)</f>
        <v>0</v>
      </c>
      <c r="N15" s="9" cm="1">
        <f t="array" ref="N15">(SUMPRODUCT(--(F2:F65&lt;&gt;""), --(F2:F65=Eli!F2:F65)) * N2)</f>
        <v>0</v>
      </c>
      <c r="O15" s="9" cm="1">
        <f t="array" ref="O15">(SUMPRODUCT(--(G2:G65&lt;&gt;""), --(G2:G65=Eli!G2:G65)) * O2)</f>
        <v>0</v>
      </c>
      <c r="P15" s="9">
        <f t="shared" si="0"/>
        <v>490</v>
      </c>
    </row>
    <row r="16" spans="1:16" x14ac:dyDescent="0.2">
      <c r="A16" s="1" t="s">
        <v>149</v>
      </c>
      <c r="B16" s="1" t="s">
        <v>149</v>
      </c>
      <c r="C16" s="1" t="s">
        <v>149</v>
      </c>
      <c r="I16" s="5" t="s">
        <v>16</v>
      </c>
      <c r="J16" cm="1">
        <f t="array" ref="J16">(SUMPRODUCT(--(B2:B65&lt;&gt;""), --(B2:B65=Emma!B2:B65)) * J2)</f>
        <v>280</v>
      </c>
      <c r="K16" cm="1">
        <f t="array" ref="K16">(SUMPRODUCT(--(C2:C65&lt;&gt;""), --(C2:C65=Emma!C2:C65)) * K2)</f>
        <v>180</v>
      </c>
      <c r="L16" cm="1">
        <f t="array" ref="L16">(SUMPRODUCT(--(D2:D65&lt;&gt;""), --(D2:D65=Emma!D2:D65)) * L2)</f>
        <v>0</v>
      </c>
      <c r="M16" cm="1">
        <f t="array" ref="M16">(SUMPRODUCT(--(E2:E65&lt;&gt;""), --(E2:E65=Emma!E2:E65)) * M2)</f>
        <v>0</v>
      </c>
      <c r="N16" cm="1">
        <f t="array" ref="N16">(SUMPRODUCT(--(F2:F65&lt;&gt;""), --(F2:F65=Emma!F2:F65)) * N2)</f>
        <v>0</v>
      </c>
      <c r="O16" cm="1">
        <f t="array" ref="O16">(SUMPRODUCT(--(G2:G65&lt;&gt;""), --(G2:G65=Emma!G2:G65)) * O2)</f>
        <v>0</v>
      </c>
      <c r="P16">
        <f t="shared" si="0"/>
        <v>460</v>
      </c>
    </row>
    <row r="17" spans="1:16" x14ac:dyDescent="0.2">
      <c r="A17" s="1" t="s">
        <v>106</v>
      </c>
      <c r="I17" s="8" t="s">
        <v>154</v>
      </c>
      <c r="J17" s="9" cm="1">
        <f t="array" ref="J17">(SUMPRODUCT(--(B2:B65&lt;&gt;""), --(B2:B65=Arden!B2:B65)) * J2)</f>
        <v>240</v>
      </c>
      <c r="K17" s="9" cm="1">
        <f t="array" ref="K17">(SUMPRODUCT(--(C2:C65&lt;&gt;""), --(C2:C65=Arden!C2:C65)) * K2)</f>
        <v>240</v>
      </c>
      <c r="L17" s="9" cm="1">
        <f t="array" ref="L17">(SUMPRODUCT(--(D2:D65&lt;&gt;""), --(D2:D65=Arden!D2:D65)) * L2)</f>
        <v>0</v>
      </c>
      <c r="M17" s="9" cm="1">
        <f t="array" ref="M17">(SUMPRODUCT(--(E2:E65&lt;&gt;""), --(E2:E65=Arden!E2:E65)) * M2)</f>
        <v>0</v>
      </c>
      <c r="N17" s="9" cm="1">
        <f t="array" ref="N17">(SUMPRODUCT(--(F2:F65&lt;&gt;""), --(F2:F65=Arden!F2:F65)) * N2)</f>
        <v>0</v>
      </c>
      <c r="O17" s="9" cm="1">
        <f t="array" ref="O17">(SUMPRODUCT(--(G2:G65&lt;&gt;""), --(G2:G65=Arden!G2:G65)) * O2)</f>
        <v>0</v>
      </c>
      <c r="P17" s="9">
        <f t="shared" si="0"/>
        <v>480</v>
      </c>
    </row>
    <row r="18" spans="1:16" x14ac:dyDescent="0.2">
      <c r="A18" s="2" t="s">
        <v>50</v>
      </c>
      <c r="B18" s="2" t="s">
        <v>50</v>
      </c>
      <c r="I18" s="5" t="s">
        <v>17</v>
      </c>
      <c r="J18" cm="1">
        <f t="array" ref="J18">(SUMPRODUCT(--(B2:B65&lt;&gt;""), --(B2:B65=Maren!B2:B65)) * J2)</f>
        <v>250</v>
      </c>
      <c r="K18" cm="1">
        <f t="array" ref="K18">(SUMPRODUCT(--(C2:C65&lt;&gt;""), --(C2:C65=Maren!C2:C65)) * K2)</f>
        <v>220</v>
      </c>
      <c r="L18" cm="1">
        <f t="array" ref="L18">(SUMPRODUCT(--(D2:D65&lt;&gt;""), --(D2:D65=Maren!D2:D65)) * L2)</f>
        <v>0</v>
      </c>
      <c r="M18" cm="1">
        <f t="array" ref="M18">(SUMPRODUCT(--(E2:E65&lt;&gt;""), --(E2:E65=Maren!E2:E65)) * M2)</f>
        <v>0</v>
      </c>
      <c r="N18" cm="1">
        <f t="array" ref="N18">(SUMPRODUCT(--(F2:F65&lt;&gt;""), --(F2:F65=Maren!F2:F65)) * N2)</f>
        <v>0</v>
      </c>
      <c r="O18" cm="1">
        <f t="array" ref="O18">(SUMPRODUCT(--(G2:G65&lt;&gt;""), --(G2:G65=Maren!G2:G65)) * O2)</f>
        <v>0</v>
      </c>
      <c r="P18">
        <f t="shared" si="0"/>
        <v>470</v>
      </c>
    </row>
    <row r="19" spans="1:16" x14ac:dyDescent="0.2">
      <c r="A19" s="2" t="s">
        <v>148</v>
      </c>
      <c r="I19" s="8" t="s">
        <v>18</v>
      </c>
      <c r="J19" s="9" cm="1">
        <f t="array" ref="J19">(SUMPRODUCT(--(B2:B65&lt;&gt;""), --(B2:B65=Pete!B2:B65)) * J2)</f>
        <v>250</v>
      </c>
      <c r="K19" s="9" cm="1">
        <f t="array" ref="K19">(SUMPRODUCT(--(C2:C65&lt;&gt;""), --(C2:C65=Pete!C2:C65)) * K2)</f>
        <v>140</v>
      </c>
      <c r="L19" s="9" cm="1">
        <f t="array" ref="L19">(SUMPRODUCT(--(D2:D65&lt;&gt;""), --(D2:D65=Pete!D2:D65)) * L2)</f>
        <v>0</v>
      </c>
      <c r="M19" s="9" cm="1">
        <f t="array" ref="M19">(SUMPRODUCT(--(E2:E65&lt;&gt;""), --(E2:E65=Pete!E2:E65)) * M2)</f>
        <v>0</v>
      </c>
      <c r="N19" s="9" cm="1">
        <f t="array" ref="N19">(SUMPRODUCT(--(F2:F65&lt;&gt;""), --(F2:F65=Pete!F2:F65)) * N2)</f>
        <v>0</v>
      </c>
      <c r="O19" s="9" cm="1">
        <f t="array" ref="O19">(SUMPRODUCT(--(G2:G65&lt;&gt;""), --(G2:G65=Pete!G2:G65)) * O2)</f>
        <v>0</v>
      </c>
      <c r="P19" s="9">
        <f t="shared" si="0"/>
        <v>390</v>
      </c>
    </row>
    <row r="20" spans="1:16" x14ac:dyDescent="0.2">
      <c r="A20" s="2" t="s">
        <v>107</v>
      </c>
      <c r="I20" s="5" t="s">
        <v>19</v>
      </c>
      <c r="J20" cm="1">
        <f t="array" ref="J20">(SUMPRODUCT(--(B2:B65&lt;&gt;""), --(B2:B65=Roman!B2:B65)) * J2)</f>
        <v>260</v>
      </c>
      <c r="K20" cm="1">
        <f t="array" ref="K20">(SUMPRODUCT(--(C2:C65&lt;&gt;""), --(C2:C65=Roman!C2:C65)) * K2)</f>
        <v>220</v>
      </c>
      <c r="L20" cm="1">
        <f t="array" ref="L20">(SUMPRODUCT(--(D2:D65&lt;&gt;""), --(D2:D65=Roman!D2:D65)) * L2)</f>
        <v>0</v>
      </c>
      <c r="M20" cm="1">
        <f t="array" ref="M20">(SUMPRODUCT(--(E2:E65&lt;&gt;""), --(E2:E65=Roman!E2:E65)) * M2)</f>
        <v>0</v>
      </c>
      <c r="N20" cm="1">
        <f t="array" ref="N20">(SUMPRODUCT(--(F2:F65&lt;&gt;""), --(F2:F65=Roman!F2:F65)) * N2)</f>
        <v>0</v>
      </c>
      <c r="O20" cm="1">
        <f t="array" ref="O20">(SUMPRODUCT(--(G2:G65&lt;&gt;""), --(G2:G65=Roman!G2:G65)) * O2)</f>
        <v>0</v>
      </c>
      <c r="P20">
        <f t="shared" si="0"/>
        <v>480</v>
      </c>
    </row>
    <row r="21" spans="1:16" x14ac:dyDescent="0.2">
      <c r="A21" s="2" t="s">
        <v>108</v>
      </c>
      <c r="B21" s="2" t="s">
        <v>108</v>
      </c>
      <c r="C21" s="2" t="s">
        <v>108</v>
      </c>
      <c r="I21" s="8" t="s">
        <v>20</v>
      </c>
      <c r="J21" s="9" cm="1">
        <f t="array" ref="J21">(SUMPRODUCT(--(B2:B65&lt;&gt;""), --(B2:B65=Sarah!B2:B65)) * J2)</f>
        <v>250</v>
      </c>
      <c r="K21" s="9" cm="1">
        <f t="array" ref="K21">(SUMPRODUCT(--(C2:C65&lt;&gt;""), --(C2:C65=Sarah!C2:C65)) * K2)</f>
        <v>220</v>
      </c>
      <c r="L21" s="9" cm="1">
        <f t="array" ref="L21">(SUMPRODUCT(--(D2:D65&lt;&gt;""), --(D2:D65=Sarah!D2:D65)) * L2)</f>
        <v>0</v>
      </c>
      <c r="M21" s="9" cm="1">
        <f t="array" ref="M21">(SUMPRODUCT(--(E2:E65&lt;&gt;""), --(E2:E65=Sarah!E2:E65)) * M2)</f>
        <v>0</v>
      </c>
      <c r="N21" s="9" cm="1">
        <f t="array" ref="N21">(SUMPRODUCT(--(F2:F65&lt;&gt;""), --(F2:F65=Sarah!F2:F65)) * N2)</f>
        <v>0</v>
      </c>
      <c r="O21" s="9" cm="1">
        <f t="array" ref="O21">(SUMPRODUCT(--(G2:G65&lt;&gt;""), --(G2:G65=Sarah!G2:G65)) * O2)</f>
        <v>0</v>
      </c>
      <c r="P21" s="9">
        <f t="shared" si="0"/>
        <v>470</v>
      </c>
    </row>
    <row r="22" spans="1:16" x14ac:dyDescent="0.2">
      <c r="A22" s="2" t="s">
        <v>109</v>
      </c>
      <c r="B22" s="2" t="s">
        <v>109</v>
      </c>
      <c r="I22" s="5" t="s">
        <v>21</v>
      </c>
      <c r="J22" cm="1">
        <f t="array" ref="J22">(SUMPRODUCT(--(B2:B65&lt;&gt;""), --(B2:B65=Elaine!B2:B65)) * J2)</f>
        <v>250</v>
      </c>
      <c r="K22" cm="1">
        <f t="array" ref="K22">(SUMPRODUCT(--(C2:C65&lt;&gt;""), --(C2:C65=Elaine!C2:C65)) * K2)</f>
        <v>220</v>
      </c>
      <c r="L22" cm="1">
        <f t="array" ref="L22">(SUMPRODUCT(--(D2:D65&lt;&gt;""), --(D2:D65=Elaine!D2:D65)) * L2)</f>
        <v>0</v>
      </c>
      <c r="M22" cm="1">
        <f t="array" ref="M22">(SUMPRODUCT(--(E2:E65&lt;&gt;""), --(E2:E65=Elaine!E2:E65)) * M2)</f>
        <v>0</v>
      </c>
      <c r="N22" cm="1">
        <f t="array" ref="N22">(SUMPRODUCT(--(F2:F65&lt;&gt;""), --(F2:F65=Elaine!F2:F65)) * N2)</f>
        <v>0</v>
      </c>
      <c r="O22" cm="1">
        <f t="array" ref="O22">(SUMPRODUCT(--(G2:G65&lt;&gt;""), --(G2:G65=Elaine!G2:G65)) * O2)</f>
        <v>0</v>
      </c>
      <c r="P22">
        <f t="shared" si="0"/>
        <v>470</v>
      </c>
    </row>
    <row r="23" spans="1:16" x14ac:dyDescent="0.2">
      <c r="A23" s="2" t="s">
        <v>30</v>
      </c>
      <c r="I23" s="8" t="s">
        <v>22</v>
      </c>
      <c r="J23" s="9" cm="1">
        <f t="array" ref="J23">(SUMPRODUCT(--(B2:B65&lt;&gt;""), --(B2:B65=August!B2:B65)) * J2)</f>
        <v>280</v>
      </c>
      <c r="K23" s="9" cm="1">
        <f t="array" ref="K23">(SUMPRODUCT(--(C2:C65&lt;&gt;""), --(C2:C65=August!C2:C65)) * K2)</f>
        <v>180</v>
      </c>
      <c r="L23" s="9" cm="1">
        <f t="array" ref="L23">(SUMPRODUCT(--(D2:D65&lt;&gt;""), --(D2:D65=August!D2:D65)) * L2)</f>
        <v>0</v>
      </c>
      <c r="M23" s="9" cm="1">
        <f t="array" ref="M23">(SUMPRODUCT(--(E2:E65&lt;&gt;""), --(E2:E65=August!E2:E65)) * M2)</f>
        <v>0</v>
      </c>
      <c r="N23" s="9" cm="1">
        <f t="array" ref="N23">(SUMPRODUCT(--(F2:F65&lt;&gt;""), --(F2:F65=August!F2:F65)) * N2)</f>
        <v>0</v>
      </c>
      <c r="O23" s="9" cm="1">
        <f t="array" ref="O23">(SUMPRODUCT(--(G2:G65&lt;&gt;""), --(G2:G65=August!G2:G65)) * O2)</f>
        <v>0</v>
      </c>
      <c r="P23" s="9">
        <f t="shared" si="0"/>
        <v>460</v>
      </c>
    </row>
    <row r="24" spans="1:16" x14ac:dyDescent="0.2">
      <c r="A24" s="2" t="s">
        <v>110</v>
      </c>
      <c r="B24" s="2" t="s">
        <v>110</v>
      </c>
      <c r="C24" s="2" t="s">
        <v>110</v>
      </c>
      <c r="I24" s="5" t="s">
        <v>93</v>
      </c>
      <c r="J24" cm="1">
        <f t="array" ref="J24">(SUMPRODUCT(--(B2:B65&lt;&gt;""), --(B2:B65=Indie!B2:B65)) * J2)</f>
        <v>250</v>
      </c>
      <c r="K24" cm="1">
        <f t="array" ref="K24">(SUMPRODUCT(--(C2:C65&lt;&gt;""), --(C2:C65=Indie!C2:C65)) * K2)</f>
        <v>180</v>
      </c>
      <c r="L24" cm="1">
        <f t="array" ref="L24">(SUMPRODUCT(--(D2:D65&lt;&gt;""), --(D2:D65=Indie!D2:D65)) * L2)</f>
        <v>0</v>
      </c>
      <c r="M24" cm="1">
        <f t="array" ref="M24">(SUMPRODUCT(--(E2:E65&lt;&gt;""), --(E2:E65=Indie!E2:E65)) * M2)</f>
        <v>0</v>
      </c>
      <c r="N24" cm="1">
        <f t="array" ref="N24">(SUMPRODUCT(--(F2:F65&lt;&gt;""), --(F2:F65=Indie!F2:F65)) * N2)</f>
        <v>0</v>
      </c>
      <c r="O24" cm="1">
        <f t="array" ref="O24">(SUMPRODUCT(--(G2:G65&lt;&gt;""), --(G2:G65=Indie!G2:G65)) * O2)</f>
        <v>0</v>
      </c>
      <c r="P24">
        <f t="shared" si="0"/>
        <v>430</v>
      </c>
    </row>
    <row r="25" spans="1:16" x14ac:dyDescent="0.2">
      <c r="A25" s="2" t="s">
        <v>111</v>
      </c>
      <c r="I25" s="8" t="s">
        <v>23</v>
      </c>
      <c r="J25" s="9" cm="1">
        <f t="array" ref="J25">(SUMPRODUCT(--(B2:B65&lt;&gt;""), --(B2:B65=Pia!B2:B65)) * J2)</f>
        <v>190</v>
      </c>
      <c r="K25" s="9" cm="1">
        <f t="array" ref="K25">(SUMPRODUCT(--(C2:C65&lt;&gt;""), --(C2:C65=Pia!C2:C65)) * K2)</f>
        <v>100</v>
      </c>
      <c r="L25" s="9" cm="1">
        <f t="array" ref="L25">(SUMPRODUCT(--(D2:D65&lt;&gt;""), --(D2:D65=Pia!D2:D65)) * L2)</f>
        <v>0</v>
      </c>
      <c r="M25" s="9" cm="1">
        <f t="array" ref="M25">(SUMPRODUCT(--(E2:E65&lt;&gt;""), --(E2:E65=Pia!E2:E65)) * M2)</f>
        <v>0</v>
      </c>
      <c r="N25" s="9" cm="1">
        <f t="array" ref="N25">(SUMPRODUCT(--(F2:F65&lt;&gt;""), --(F2:F65=Pia!F2:F65)) * N2)</f>
        <v>0</v>
      </c>
      <c r="O25" s="9" cm="1">
        <f t="array" ref="O25">(SUMPRODUCT(--(G2:G65&lt;&gt;""), --(G2:G65=Pia!G2:G65)) * O2)</f>
        <v>0</v>
      </c>
      <c r="P25" s="9">
        <f t="shared" si="0"/>
        <v>290</v>
      </c>
    </row>
    <row r="26" spans="1:16" x14ac:dyDescent="0.2">
      <c r="A26" s="2" t="s">
        <v>112</v>
      </c>
      <c r="I26" s="5" t="s">
        <v>34</v>
      </c>
      <c r="J26" cm="1">
        <f t="array" ref="J26">(SUMPRODUCT(--(B2:B65&lt;&gt;""), --(B2:B65=Penny!B2:B65)) * J2)</f>
        <v>240</v>
      </c>
      <c r="K26" cm="1">
        <f t="array" ref="K26">(SUMPRODUCT(--(C2:C65&lt;&gt;""), --(C2:C65=Penny!C2:C65)) * K2)</f>
        <v>240</v>
      </c>
      <c r="L26" cm="1">
        <f t="array" ref="L26">(SUMPRODUCT(--(D2:D65&lt;&gt;""), --(D2:D65=Penny!D2:D65)) * L2)</f>
        <v>0</v>
      </c>
      <c r="M26" cm="1">
        <f t="array" ref="M26">(SUMPRODUCT(--(E2:E65&lt;&gt;""), --(E2:E65=Penny!E2:E65)) * M2)</f>
        <v>0</v>
      </c>
      <c r="N26" cm="1">
        <f t="array" ref="N26">(SUMPRODUCT(--(F2:F65&lt;&gt;""), --(F2:F65=Penny!F2:F65)) * N2)</f>
        <v>0</v>
      </c>
      <c r="O26" cm="1">
        <f t="array" ref="O26">(SUMPRODUCT(--(G2:G65&lt;&gt;""), --(G2:G65=Penny!G2:G65)) * O2)</f>
        <v>0</v>
      </c>
      <c r="P26">
        <f t="shared" si="0"/>
        <v>480</v>
      </c>
    </row>
    <row r="27" spans="1:16" x14ac:dyDescent="0.2">
      <c r="A27" s="2" t="s">
        <v>72</v>
      </c>
      <c r="B27" s="2" t="s">
        <v>72</v>
      </c>
      <c r="I27" s="10" t="s">
        <v>14</v>
      </c>
      <c r="J27" s="11" cm="1">
        <f t="array" ref="J27">(SUMPRODUCT(--(B$2:B$65&lt;&gt;""), --(B$2:B$65=Don!B$2:B$65)) * J$2)</f>
        <v>250</v>
      </c>
      <c r="K27" s="11" cm="1">
        <f t="array" ref="K27">(SUMPRODUCT(--(C$2:C$65&lt;&gt;""), --(C$2:C$65=Don!C$2:C$65)) * K$2)</f>
        <v>240</v>
      </c>
      <c r="L27" s="11" cm="1">
        <f t="array" ref="L27">(SUMPRODUCT(--(D$2:D$65&lt;&gt;""), --(D$2:D$65=Don!D$2:D$65)) * L$2)</f>
        <v>0</v>
      </c>
      <c r="M27" s="11" cm="1">
        <f t="array" ref="M27">(SUMPRODUCT(--(E$2:E$65&lt;&gt;""), --(E$2:E$65=Don!E$2:E$65)) * M$2)</f>
        <v>0</v>
      </c>
      <c r="N27" s="11" cm="1">
        <f t="array" ref="N27">(SUMPRODUCT(--(F$2:F$65&lt;&gt;""), --(F$2:F$65=Don!F$2:F$65)) * N$2)</f>
        <v>0</v>
      </c>
      <c r="O27" s="11" cm="1">
        <f t="array" ref="O27">(SUMPRODUCT(--(G$2:G$65&lt;&gt;""), --(G$2:G$65=Don!G$2:G$65)) * O$2)</f>
        <v>0</v>
      </c>
      <c r="P27" s="11">
        <f t="shared" ref="P27:P28" si="1">SUM(J27:O27)</f>
        <v>490</v>
      </c>
    </row>
    <row r="28" spans="1:16" x14ac:dyDescent="0.2">
      <c r="A28" s="2" t="s">
        <v>113</v>
      </c>
      <c r="B28" s="2" t="s">
        <v>113</v>
      </c>
      <c r="C28" s="2" t="s">
        <v>113</v>
      </c>
      <c r="I28" s="5" t="s">
        <v>155</v>
      </c>
      <c r="J28" s="11" cm="1">
        <f t="array" ref="J28">(SUMPRODUCT(--(B$2:B$65&lt;&gt;""), --(B$2:B$65=Winter!B$2:B$65)) * J$2)</f>
        <v>240</v>
      </c>
      <c r="K28" s="11" cm="1">
        <f t="array" ref="K28">(SUMPRODUCT(--(C$2:C$65&lt;&gt;""), --(C$2:C$65=Winter!C$2:C$65)) * K$2)</f>
        <v>120</v>
      </c>
      <c r="L28" s="11" cm="1">
        <f t="array" ref="L28">(SUMPRODUCT(--(D$2:D$65&lt;&gt;""), --(D$2:D$65=Winter!D$2:D$65)) * L$2)</f>
        <v>0</v>
      </c>
      <c r="M28" s="11" cm="1">
        <f t="array" ref="M28">(SUMPRODUCT(--(E$2:E$65&lt;&gt;""), --(E$2:E$65=Winter!E$2:E$65)) * M$2)</f>
        <v>0</v>
      </c>
      <c r="N28" s="11" cm="1">
        <f t="array" ref="N28">(SUMPRODUCT(--(F$2:F$65&lt;&gt;""), --(F$2:F$65=Winter!F$2:F$65)) * N$2)</f>
        <v>0</v>
      </c>
      <c r="O28" s="11" cm="1">
        <f t="array" ref="O28">(SUMPRODUCT(--(G$2:G$65&lt;&gt;""), --(G$2:G$65=Winter!G$2:G$65)) * O$2)</f>
        <v>0</v>
      </c>
      <c r="P28" s="11">
        <f t="shared" si="1"/>
        <v>360</v>
      </c>
    </row>
    <row r="29" spans="1:16" x14ac:dyDescent="0.2">
      <c r="A29" s="2" t="s">
        <v>114</v>
      </c>
    </row>
    <row r="30" spans="1:16" x14ac:dyDescent="0.2">
      <c r="A30" s="2" t="s">
        <v>75</v>
      </c>
    </row>
    <row r="31" spans="1:16" x14ac:dyDescent="0.2">
      <c r="A31" s="2" t="s">
        <v>115</v>
      </c>
      <c r="B31" s="2" t="s">
        <v>115</v>
      </c>
    </row>
    <row r="32" spans="1:16" x14ac:dyDescent="0.2">
      <c r="A32" s="2" t="s">
        <v>116</v>
      </c>
      <c r="B32" s="2" t="s">
        <v>116</v>
      </c>
      <c r="C32" s="2" t="s">
        <v>116</v>
      </c>
    </row>
    <row r="33" spans="1:3" x14ac:dyDescent="0.2">
      <c r="A33" s="2" t="s">
        <v>117</v>
      </c>
    </row>
    <row r="34" spans="1:3" x14ac:dyDescent="0.2">
      <c r="A34" s="3" t="s">
        <v>118</v>
      </c>
      <c r="B34" s="3" t="s">
        <v>118</v>
      </c>
      <c r="C34" s="3" t="s">
        <v>118</v>
      </c>
    </row>
    <row r="35" spans="1:3" x14ac:dyDescent="0.2">
      <c r="A35" s="3" t="s">
        <v>150</v>
      </c>
    </row>
    <row r="36" spans="1:3" x14ac:dyDescent="0.2">
      <c r="A36" s="3" t="s">
        <v>119</v>
      </c>
    </row>
    <row r="37" spans="1:3" x14ac:dyDescent="0.2">
      <c r="A37" s="3" t="s">
        <v>120</v>
      </c>
      <c r="B37" s="3" t="s">
        <v>120</v>
      </c>
    </row>
    <row r="38" spans="1:3" x14ac:dyDescent="0.2">
      <c r="A38" s="3" t="s">
        <v>121</v>
      </c>
    </row>
    <row r="39" spans="1:3" x14ac:dyDescent="0.2">
      <c r="A39" s="3" t="s">
        <v>122</v>
      </c>
      <c r="B39" s="3" t="s">
        <v>122</v>
      </c>
    </row>
    <row r="40" spans="1:3" x14ac:dyDescent="0.2">
      <c r="A40" s="3" t="s">
        <v>123</v>
      </c>
      <c r="B40" s="3" t="s">
        <v>123</v>
      </c>
      <c r="C40" s="3" t="s">
        <v>123</v>
      </c>
    </row>
    <row r="41" spans="1:3" x14ac:dyDescent="0.2">
      <c r="A41" s="3" t="s">
        <v>124</v>
      </c>
    </row>
    <row r="42" spans="1:3" x14ac:dyDescent="0.2">
      <c r="A42" s="3" t="s">
        <v>28</v>
      </c>
    </row>
    <row r="43" spans="1:3" x14ac:dyDescent="0.2">
      <c r="A43" s="3" t="s">
        <v>125</v>
      </c>
      <c r="B43" s="3" t="s">
        <v>125</v>
      </c>
      <c r="C43" s="3" t="s">
        <v>125</v>
      </c>
    </row>
    <row r="44" spans="1:3" x14ac:dyDescent="0.2">
      <c r="A44" s="3" t="s">
        <v>126</v>
      </c>
      <c r="B44" s="3" t="s">
        <v>126</v>
      </c>
    </row>
    <row r="45" spans="1:3" x14ac:dyDescent="0.2">
      <c r="A45" s="3" t="s">
        <v>127</v>
      </c>
    </row>
    <row r="46" spans="1:3" x14ac:dyDescent="0.2">
      <c r="A46" s="3" t="s">
        <v>128</v>
      </c>
      <c r="B46" s="3" t="s">
        <v>128</v>
      </c>
    </row>
    <row r="47" spans="1:3" x14ac:dyDescent="0.2">
      <c r="A47" s="3" t="s">
        <v>129</v>
      </c>
    </row>
    <row r="48" spans="1:3" x14ac:dyDescent="0.2">
      <c r="A48" s="3" t="s">
        <v>130</v>
      </c>
      <c r="B48" s="3" t="s">
        <v>130</v>
      </c>
      <c r="C48" s="3" t="s">
        <v>130</v>
      </c>
    </row>
    <row r="49" spans="1:3" x14ac:dyDescent="0.2">
      <c r="A49" s="3" t="s">
        <v>131</v>
      </c>
    </row>
    <row r="50" spans="1:3" x14ac:dyDescent="0.2">
      <c r="A50" s="4" t="s">
        <v>132</v>
      </c>
      <c r="B50" s="4" t="s">
        <v>132</v>
      </c>
      <c r="C50" s="4" t="s">
        <v>132</v>
      </c>
    </row>
    <row r="51" spans="1:3" x14ac:dyDescent="0.2">
      <c r="A51" s="4" t="s">
        <v>133</v>
      </c>
    </row>
    <row r="52" spans="1:3" x14ac:dyDescent="0.2">
      <c r="A52" s="4" t="s">
        <v>134</v>
      </c>
    </row>
    <row r="53" spans="1:3" x14ac:dyDescent="0.2">
      <c r="A53" s="4" t="s">
        <v>135</v>
      </c>
      <c r="B53" s="4" t="s">
        <v>135</v>
      </c>
    </row>
    <row r="54" spans="1:3" x14ac:dyDescent="0.2">
      <c r="A54" s="4" t="s">
        <v>136</v>
      </c>
      <c r="B54" s="4" t="s">
        <v>136</v>
      </c>
    </row>
    <row r="55" spans="1:3" x14ac:dyDescent="0.2">
      <c r="A55" s="4" t="s">
        <v>137</v>
      </c>
    </row>
    <row r="56" spans="1:3" x14ac:dyDescent="0.2">
      <c r="A56" s="4" t="s">
        <v>138</v>
      </c>
      <c r="B56" s="4" t="s">
        <v>138</v>
      </c>
      <c r="C56" s="4" t="s">
        <v>138</v>
      </c>
    </row>
    <row r="57" spans="1:3" x14ac:dyDescent="0.2">
      <c r="A57" s="4" t="s">
        <v>139</v>
      </c>
    </row>
    <row r="58" spans="1:3" x14ac:dyDescent="0.2">
      <c r="A58" s="4" t="s">
        <v>140</v>
      </c>
      <c r="B58" s="4" t="s">
        <v>140</v>
      </c>
      <c r="C58" s="4" t="s">
        <v>140</v>
      </c>
    </row>
    <row r="59" spans="1:3" x14ac:dyDescent="0.2">
      <c r="A59" s="4" t="s">
        <v>141</v>
      </c>
    </row>
    <row r="60" spans="1:3" x14ac:dyDescent="0.2">
      <c r="A60" s="4" t="s">
        <v>142</v>
      </c>
      <c r="B60" s="4" t="s">
        <v>142</v>
      </c>
    </row>
    <row r="61" spans="1:3" x14ac:dyDescent="0.2">
      <c r="A61" s="4" t="s">
        <v>143</v>
      </c>
    </row>
    <row r="62" spans="1:3" x14ac:dyDescent="0.2">
      <c r="A62" s="4" t="s">
        <v>144</v>
      </c>
      <c r="B62" s="4" t="s">
        <v>144</v>
      </c>
    </row>
    <row r="63" spans="1:3" x14ac:dyDescent="0.2">
      <c r="A63" s="4" t="s">
        <v>145</v>
      </c>
    </row>
    <row r="64" spans="1:3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honeticPr fontId="1" type="noConversion"/>
  <conditionalFormatting sqref="I4:P27 J28:P28">
    <cfRule type="top10" dxfId="1" priority="1" rank="1"/>
  </conditionalFormatting>
  <conditionalFormatting sqref="P34">
    <cfRule type="top10" dxfId="0" priority="3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B72E-3FD2-AD4E-B55F-59D67556473D}">
  <dimension ref="A1:G65"/>
  <sheetViews>
    <sheetView zoomScale="70" zoomScaleNormal="70" workbookViewId="0">
      <selection activeCell="B64" sqref="B64"/>
    </sheetView>
  </sheetViews>
  <sheetFormatPr baseColWidth="10" defaultRowHeight="16" x14ac:dyDescent="0.2"/>
  <cols>
    <col min="1" max="1" width="33.33203125" bestFit="1" customWidth="1"/>
    <col min="2" max="2" width="15.1640625" bestFit="1" customWidth="1"/>
    <col min="3" max="3" width="12.83203125" bestFit="1" customWidth="1"/>
    <col min="4" max="7" width="12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</row>
    <row r="31" spans="1:5" x14ac:dyDescent="0.2">
      <c r="A31" s="2" t="s">
        <v>115</v>
      </c>
      <c r="B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  <c r="C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  <c r="D44" s="3" t="s">
        <v>126</v>
      </c>
      <c r="E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</row>
    <row r="49" spans="1:7" x14ac:dyDescent="0.2">
      <c r="A49" s="3" t="s">
        <v>131</v>
      </c>
    </row>
    <row r="50" spans="1:7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  <c r="G50" s="4" t="s">
        <v>132</v>
      </c>
    </row>
    <row r="51" spans="1:7" x14ac:dyDescent="0.2">
      <c r="A51" s="4" t="s">
        <v>133</v>
      </c>
    </row>
    <row r="52" spans="1:7" x14ac:dyDescent="0.2">
      <c r="A52" s="4" t="s">
        <v>134</v>
      </c>
      <c r="B52" s="4" t="s">
        <v>134</v>
      </c>
    </row>
    <row r="53" spans="1:7" x14ac:dyDescent="0.2">
      <c r="A53" s="4" t="s">
        <v>135</v>
      </c>
    </row>
    <row r="54" spans="1:7" x14ac:dyDescent="0.2">
      <c r="A54" s="4" t="s">
        <v>136</v>
      </c>
      <c r="B54" s="4" t="s">
        <v>136</v>
      </c>
      <c r="C54" s="4" t="s">
        <v>136</v>
      </c>
    </row>
    <row r="55" spans="1:7" x14ac:dyDescent="0.2">
      <c r="A55" s="4" t="s">
        <v>137</v>
      </c>
    </row>
    <row r="56" spans="1:7" x14ac:dyDescent="0.2">
      <c r="A56" s="4" t="s">
        <v>138</v>
      </c>
      <c r="B56" s="4" t="s">
        <v>138</v>
      </c>
    </row>
    <row r="57" spans="1:7" x14ac:dyDescent="0.2">
      <c r="A57" s="4" t="s">
        <v>139</v>
      </c>
    </row>
    <row r="58" spans="1:7" x14ac:dyDescent="0.2">
      <c r="A58" s="4" t="s">
        <v>140</v>
      </c>
      <c r="B58" s="4" t="s">
        <v>140</v>
      </c>
      <c r="C58" s="4" t="s">
        <v>140</v>
      </c>
    </row>
    <row r="59" spans="1:7" x14ac:dyDescent="0.2">
      <c r="A59" s="4" t="s">
        <v>141</v>
      </c>
    </row>
    <row r="60" spans="1:7" x14ac:dyDescent="0.2">
      <c r="A60" s="4" t="s">
        <v>142</v>
      </c>
      <c r="B60" s="4" t="s">
        <v>142</v>
      </c>
    </row>
    <row r="61" spans="1:7" x14ac:dyDescent="0.2">
      <c r="A61" s="4" t="s">
        <v>143</v>
      </c>
    </row>
    <row r="62" spans="1:7" x14ac:dyDescent="0.2">
      <c r="A62" s="4" t="s">
        <v>144</v>
      </c>
      <c r="B62" s="4" t="s">
        <v>144</v>
      </c>
    </row>
    <row r="63" spans="1:7" x14ac:dyDescent="0.2">
      <c r="A63" s="4" t="s">
        <v>145</v>
      </c>
    </row>
    <row r="64" spans="1:7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DBD5-B09A-D344-9157-98333587C04A}">
  <dimension ref="A1:G65"/>
  <sheetViews>
    <sheetView zoomScale="70" zoomScaleNormal="70" workbookViewId="0">
      <selection activeCell="A64" sqref="A64:D64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5" width="13.6640625" bestFit="1" customWidth="1"/>
    <col min="6" max="6" width="12.6640625" bestFit="1" customWidth="1"/>
    <col min="7" max="7" width="10.1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  <c r="E16" s="1" t="s">
        <v>149</v>
      </c>
      <c r="F16" s="1" t="s">
        <v>149</v>
      </c>
      <c r="G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  <c r="B20" s="2" t="s">
        <v>107</v>
      </c>
    </row>
    <row r="21" spans="1:5" x14ac:dyDescent="0.2">
      <c r="A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  <c r="B52" s="4" t="s">
        <v>134</v>
      </c>
    </row>
    <row r="53" spans="1:6" x14ac:dyDescent="0.2">
      <c r="A53" s="4" t="s">
        <v>135</v>
      </c>
    </row>
    <row r="54" spans="1:6" x14ac:dyDescent="0.2">
      <c r="A54" s="4" t="s">
        <v>136</v>
      </c>
      <c r="B54" s="4" t="s">
        <v>136</v>
      </c>
      <c r="C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  <c r="B56" s="4" t="s">
        <v>138</v>
      </c>
    </row>
    <row r="57" spans="1:6" x14ac:dyDescent="0.2">
      <c r="A57" s="4" t="s">
        <v>139</v>
      </c>
    </row>
    <row r="58" spans="1:6" x14ac:dyDescent="0.2">
      <c r="A58" s="4" t="s">
        <v>140</v>
      </c>
      <c r="B58" s="4" t="s">
        <v>140</v>
      </c>
      <c r="C58" s="4" t="s">
        <v>140</v>
      </c>
    </row>
    <row r="59" spans="1:6" x14ac:dyDescent="0.2">
      <c r="A59" s="4" t="s">
        <v>141</v>
      </c>
    </row>
    <row r="60" spans="1:6" x14ac:dyDescent="0.2">
      <c r="A60" s="4" t="s">
        <v>142</v>
      </c>
      <c r="B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  <c r="B62" s="4" t="s">
        <v>144</v>
      </c>
    </row>
    <row r="63" spans="1:6" x14ac:dyDescent="0.2">
      <c r="A63" s="4" t="s">
        <v>145</v>
      </c>
    </row>
    <row r="64" spans="1:6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6446-010A-1E47-BF71-13D244576BD9}">
  <dimension ref="A1:G65"/>
  <sheetViews>
    <sheetView zoomScale="70" zoomScaleNormal="70" workbookViewId="0">
      <selection activeCell="A64" sqref="A64:C64"/>
    </sheetView>
  </sheetViews>
  <sheetFormatPr baseColWidth="10" defaultRowHeight="16" x14ac:dyDescent="0.2"/>
  <cols>
    <col min="1" max="1" width="33.33203125" bestFit="1" customWidth="1"/>
    <col min="2" max="2" width="15.1640625" bestFit="1" customWidth="1"/>
    <col min="3" max="3" width="13.6640625" bestFit="1" customWidth="1"/>
    <col min="4" max="4" width="12.6640625" bestFit="1" customWidth="1"/>
    <col min="5" max="5" width="11.33203125" bestFit="1" customWidth="1"/>
    <col min="6" max="6" width="12.6640625" bestFit="1" customWidth="1"/>
    <col min="7" max="7" width="9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  <c r="G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</row>
    <row r="11" spans="1:7" x14ac:dyDescent="0.2">
      <c r="A11" s="1" t="s">
        <v>102</v>
      </c>
      <c r="B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</row>
    <row r="25" spans="1:5" x14ac:dyDescent="0.2">
      <c r="A25" s="2" t="s">
        <v>111</v>
      </c>
      <c r="B25" s="2" t="s">
        <v>111</v>
      </c>
    </row>
    <row r="26" spans="1:5" x14ac:dyDescent="0.2">
      <c r="A26" s="2" t="s">
        <v>112</v>
      </c>
    </row>
    <row r="27" spans="1:5" x14ac:dyDescent="0.2">
      <c r="A27" s="2" t="s">
        <v>72</v>
      </c>
      <c r="B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</row>
    <row r="31" spans="1:5" x14ac:dyDescent="0.2">
      <c r="A31" s="2" t="s">
        <v>115</v>
      </c>
      <c r="B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</row>
    <row r="37" spans="1:6" x14ac:dyDescent="0.2">
      <c r="A37" s="3" t="s">
        <v>120</v>
      </c>
      <c r="B37" s="3" t="s">
        <v>120</v>
      </c>
    </row>
    <row r="38" spans="1:6" x14ac:dyDescent="0.2">
      <c r="A38" s="3" t="s">
        <v>121</v>
      </c>
      <c r="B38" s="3" t="s">
        <v>121</v>
      </c>
      <c r="C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  <c r="B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  <c r="C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</row>
    <row r="53" spans="1:5" x14ac:dyDescent="0.2">
      <c r="A53" s="4" t="s">
        <v>135</v>
      </c>
      <c r="B53" s="4" t="s">
        <v>135</v>
      </c>
    </row>
    <row r="54" spans="1:5" x14ac:dyDescent="0.2">
      <c r="A54" s="4" t="s">
        <v>136</v>
      </c>
    </row>
    <row r="55" spans="1:5" x14ac:dyDescent="0.2">
      <c r="A55" s="4" t="s">
        <v>137</v>
      </c>
      <c r="B55" s="4" t="s">
        <v>137</v>
      </c>
    </row>
    <row r="56" spans="1:5" x14ac:dyDescent="0.2">
      <c r="A56" s="4" t="s">
        <v>138</v>
      </c>
      <c r="B56" s="4" t="s">
        <v>138</v>
      </c>
      <c r="C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  <c r="D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4F10-85DC-9749-928E-B480381900CF}">
  <dimension ref="A1:G65"/>
  <sheetViews>
    <sheetView zoomScale="70" zoomScaleNormal="70" workbookViewId="0">
      <selection activeCell="A64" sqref="A64:B64"/>
    </sheetView>
  </sheetViews>
  <sheetFormatPr baseColWidth="10" defaultRowHeight="16" x14ac:dyDescent="0.2"/>
  <cols>
    <col min="1" max="1" width="33.33203125" bestFit="1" customWidth="1"/>
    <col min="2" max="2" width="15.1640625" bestFit="1" customWidth="1"/>
    <col min="3" max="3" width="12.83203125" bestFit="1" customWidth="1"/>
    <col min="4" max="7" width="12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  <c r="D6" s="1" t="s">
        <v>97</v>
      </c>
      <c r="E6" s="1" t="s">
        <v>97</v>
      </c>
      <c r="F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</row>
    <row r="25" spans="1:5" x14ac:dyDescent="0.2">
      <c r="A25" s="2" t="s">
        <v>111</v>
      </c>
      <c r="B25" s="2" t="s">
        <v>111</v>
      </c>
    </row>
    <row r="26" spans="1:5" x14ac:dyDescent="0.2">
      <c r="A26" s="2" t="s">
        <v>112</v>
      </c>
      <c r="B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7" x14ac:dyDescent="0.2">
      <c r="A33" s="2" t="s">
        <v>117</v>
      </c>
    </row>
    <row r="34" spans="1:7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  <c r="G34" s="3" t="s">
        <v>118</v>
      </c>
    </row>
    <row r="35" spans="1:7" x14ac:dyDescent="0.2">
      <c r="A35" s="3" t="s">
        <v>150</v>
      </c>
    </row>
    <row r="36" spans="1:7" x14ac:dyDescent="0.2">
      <c r="A36" s="3" t="s">
        <v>119</v>
      </c>
      <c r="B36" s="3" t="s">
        <v>119</v>
      </c>
    </row>
    <row r="37" spans="1:7" x14ac:dyDescent="0.2">
      <c r="A37" s="3" t="s">
        <v>120</v>
      </c>
    </row>
    <row r="38" spans="1:7" x14ac:dyDescent="0.2">
      <c r="A38" s="3" t="s">
        <v>121</v>
      </c>
    </row>
    <row r="39" spans="1:7" x14ac:dyDescent="0.2">
      <c r="A39" s="3" t="s">
        <v>122</v>
      </c>
      <c r="B39" s="3" t="s">
        <v>122</v>
      </c>
    </row>
    <row r="40" spans="1:7" x14ac:dyDescent="0.2">
      <c r="A40" s="3" t="s">
        <v>123</v>
      </c>
      <c r="B40" s="3" t="s">
        <v>123</v>
      </c>
      <c r="C40" s="3" t="s">
        <v>123</v>
      </c>
    </row>
    <row r="41" spans="1:7" x14ac:dyDescent="0.2">
      <c r="A41" s="3" t="s">
        <v>124</v>
      </c>
    </row>
    <row r="42" spans="1:7" x14ac:dyDescent="0.2">
      <c r="A42" s="3" t="s">
        <v>28</v>
      </c>
    </row>
    <row r="43" spans="1:7" x14ac:dyDescent="0.2">
      <c r="A43" s="3" t="s">
        <v>125</v>
      </c>
      <c r="B43" s="3" t="s">
        <v>125</v>
      </c>
    </row>
    <row r="44" spans="1:7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7" x14ac:dyDescent="0.2">
      <c r="A45" s="3" t="s">
        <v>127</v>
      </c>
    </row>
    <row r="46" spans="1:7" x14ac:dyDescent="0.2">
      <c r="A46" s="3" t="s">
        <v>128</v>
      </c>
      <c r="B46" s="3" t="s">
        <v>128</v>
      </c>
      <c r="C46" s="3" t="s">
        <v>128</v>
      </c>
    </row>
    <row r="47" spans="1:7" x14ac:dyDescent="0.2">
      <c r="A47" s="3" t="s">
        <v>129</v>
      </c>
    </row>
    <row r="48" spans="1:7" x14ac:dyDescent="0.2">
      <c r="A48" s="3" t="s">
        <v>130</v>
      </c>
      <c r="B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</row>
    <row r="53" spans="1:5" x14ac:dyDescent="0.2">
      <c r="A53" s="4" t="s">
        <v>135</v>
      </c>
      <c r="B53" s="4" t="s">
        <v>135</v>
      </c>
    </row>
    <row r="54" spans="1:5" x14ac:dyDescent="0.2">
      <c r="A54" s="4" t="s">
        <v>136</v>
      </c>
      <c r="B54" s="4" t="s">
        <v>136</v>
      </c>
      <c r="C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  <c r="D60" s="4" t="s">
        <v>142</v>
      </c>
      <c r="E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  <c r="C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0BCF-AE44-6542-B1EA-E057BE33B998}">
  <dimension ref="A1:G65"/>
  <sheetViews>
    <sheetView zoomScale="70" zoomScaleNormal="70" workbookViewId="0">
      <selection activeCell="A64" sqref="A64:C64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  <c r="B20" s="2" t="s">
        <v>107</v>
      </c>
    </row>
    <row r="21" spans="1:5" x14ac:dyDescent="0.2">
      <c r="A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</row>
    <row r="27" spans="1:5" x14ac:dyDescent="0.2">
      <c r="A27" s="2" t="s">
        <v>72</v>
      </c>
      <c r="B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</row>
    <row r="31" spans="1:5" x14ac:dyDescent="0.2">
      <c r="A31" s="2" t="s">
        <v>115</v>
      </c>
      <c r="B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7" x14ac:dyDescent="0.2">
      <c r="A33" s="2" t="s">
        <v>117</v>
      </c>
    </row>
    <row r="34" spans="1:7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  <c r="G34" s="3" t="s">
        <v>118</v>
      </c>
    </row>
    <row r="35" spans="1:7" x14ac:dyDescent="0.2">
      <c r="A35" s="3" t="s">
        <v>150</v>
      </c>
    </row>
    <row r="36" spans="1:7" x14ac:dyDescent="0.2">
      <c r="A36" s="3" t="s">
        <v>119</v>
      </c>
    </row>
    <row r="37" spans="1:7" x14ac:dyDescent="0.2">
      <c r="A37" s="3" t="s">
        <v>120</v>
      </c>
      <c r="B37" s="3" t="s">
        <v>120</v>
      </c>
    </row>
    <row r="38" spans="1:7" x14ac:dyDescent="0.2">
      <c r="A38" s="3" t="s">
        <v>121</v>
      </c>
      <c r="B38" s="3" t="s">
        <v>121</v>
      </c>
      <c r="C38" s="3" t="s">
        <v>121</v>
      </c>
    </row>
    <row r="39" spans="1:7" x14ac:dyDescent="0.2">
      <c r="A39" s="3" t="s">
        <v>122</v>
      </c>
    </row>
    <row r="40" spans="1:7" x14ac:dyDescent="0.2">
      <c r="A40" s="3" t="s">
        <v>123</v>
      </c>
      <c r="B40" s="3" t="s">
        <v>123</v>
      </c>
    </row>
    <row r="41" spans="1:7" x14ac:dyDescent="0.2">
      <c r="A41" s="3" t="s">
        <v>124</v>
      </c>
    </row>
    <row r="42" spans="1:7" x14ac:dyDescent="0.2">
      <c r="A42" s="3" t="s">
        <v>28</v>
      </c>
      <c r="B42" s="3" t="s">
        <v>28</v>
      </c>
      <c r="C42" s="3" t="s">
        <v>28</v>
      </c>
    </row>
    <row r="43" spans="1:7" x14ac:dyDescent="0.2">
      <c r="A43" s="3" t="s">
        <v>125</v>
      </c>
    </row>
    <row r="44" spans="1:7" x14ac:dyDescent="0.2">
      <c r="A44" s="3" t="s">
        <v>126</v>
      </c>
      <c r="B44" s="3" t="s">
        <v>126</v>
      </c>
    </row>
    <row r="45" spans="1:7" x14ac:dyDescent="0.2">
      <c r="A45" s="3" t="s">
        <v>127</v>
      </c>
    </row>
    <row r="46" spans="1:7" x14ac:dyDescent="0.2">
      <c r="A46" s="3" t="s">
        <v>128</v>
      </c>
    </row>
    <row r="47" spans="1:7" x14ac:dyDescent="0.2">
      <c r="A47" s="3" t="s">
        <v>129</v>
      </c>
      <c r="B47" s="3" t="s">
        <v>129</v>
      </c>
    </row>
    <row r="48" spans="1:7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  <c r="C54" s="4" t="s">
        <v>136</v>
      </c>
      <c r="D54" s="4" t="s">
        <v>136</v>
      </c>
      <c r="E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  <c r="C58" s="4" t="s">
        <v>140</v>
      </c>
      <c r="D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F992-1565-634E-9AA8-568EA6B24626}">
  <dimension ref="A1:G65"/>
  <sheetViews>
    <sheetView zoomScale="70" zoomScaleNormal="70" workbookViewId="0">
      <selection activeCell="A64" sqref="A64:C64"/>
    </sheetView>
  </sheetViews>
  <sheetFormatPr baseColWidth="10" defaultRowHeight="16" x14ac:dyDescent="0.2"/>
  <cols>
    <col min="1" max="1" width="33.33203125" bestFit="1" customWidth="1"/>
    <col min="2" max="3" width="15.33203125" bestFit="1" customWidth="1"/>
    <col min="4" max="4" width="12.83203125" bestFit="1" customWidth="1"/>
    <col min="5" max="6" width="12.6640625" bestFit="1" customWidth="1"/>
    <col min="7" max="7" width="10.1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  <c r="G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</row>
    <row r="23" spans="1:5" x14ac:dyDescent="0.2">
      <c r="A23" s="2" t="s">
        <v>30</v>
      </c>
      <c r="B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</row>
    <row r="27" spans="1:5" x14ac:dyDescent="0.2">
      <c r="A27" s="2" t="s">
        <v>72</v>
      </c>
      <c r="B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</row>
    <row r="31" spans="1:5" x14ac:dyDescent="0.2">
      <c r="A31" s="2" t="s">
        <v>115</v>
      </c>
      <c r="B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</row>
    <row r="37" spans="1:5" x14ac:dyDescent="0.2">
      <c r="A37" s="3" t="s">
        <v>120</v>
      </c>
      <c r="B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</row>
    <row r="47" spans="1:5" x14ac:dyDescent="0.2">
      <c r="A47" s="3" t="s">
        <v>129</v>
      </c>
      <c r="B47" s="3" t="s">
        <v>129</v>
      </c>
      <c r="C47" s="3" t="s">
        <v>129</v>
      </c>
    </row>
    <row r="48" spans="1:5" x14ac:dyDescent="0.2">
      <c r="A48" s="3" t="s">
        <v>130</v>
      </c>
      <c r="B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  <c r="B52" s="4" t="s">
        <v>134</v>
      </c>
    </row>
    <row r="53" spans="1:6" x14ac:dyDescent="0.2">
      <c r="A53" s="4" t="s">
        <v>135</v>
      </c>
    </row>
    <row r="54" spans="1:6" x14ac:dyDescent="0.2">
      <c r="A54" s="4" t="s">
        <v>136</v>
      </c>
      <c r="B54" s="4" t="s">
        <v>136</v>
      </c>
      <c r="C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  <c r="B56" s="4" t="s">
        <v>138</v>
      </c>
    </row>
    <row r="57" spans="1:6" x14ac:dyDescent="0.2">
      <c r="A57" s="4" t="s">
        <v>139</v>
      </c>
    </row>
    <row r="58" spans="1:6" x14ac:dyDescent="0.2">
      <c r="A58" s="4" t="s">
        <v>140</v>
      </c>
      <c r="B58" s="4" t="s">
        <v>140</v>
      </c>
      <c r="C58" s="4" t="s">
        <v>140</v>
      </c>
      <c r="D58" s="4" t="s">
        <v>140</v>
      </c>
    </row>
    <row r="59" spans="1:6" x14ac:dyDescent="0.2">
      <c r="A59" s="4" t="s">
        <v>141</v>
      </c>
    </row>
    <row r="60" spans="1:6" x14ac:dyDescent="0.2">
      <c r="A60" s="4" t="s">
        <v>142</v>
      </c>
      <c r="B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  <c r="B62" s="4" t="s">
        <v>144</v>
      </c>
    </row>
    <row r="63" spans="1:6" x14ac:dyDescent="0.2">
      <c r="A63" s="4" t="s">
        <v>145</v>
      </c>
    </row>
    <row r="64" spans="1:6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40C5-FA64-9D48-97F9-952EEDB9A472}">
  <dimension ref="A1:G65"/>
  <sheetViews>
    <sheetView zoomScale="70" zoomScaleNormal="70" workbookViewId="0">
      <selection activeCell="A64" sqref="A64:B64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  <c r="D26" s="2" t="s">
        <v>112</v>
      </c>
      <c r="E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</row>
    <row r="29" spans="1:5" x14ac:dyDescent="0.2">
      <c r="A29" s="2" t="s">
        <v>114</v>
      </c>
      <c r="B29" s="2" t="s">
        <v>114</v>
      </c>
    </row>
    <row r="30" spans="1:5" x14ac:dyDescent="0.2">
      <c r="A30" s="2" t="s">
        <v>75</v>
      </c>
      <c r="B30" s="2" t="s">
        <v>75</v>
      </c>
      <c r="C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</row>
    <row r="33" spans="1:7" x14ac:dyDescent="0.2">
      <c r="A33" s="2" t="s">
        <v>117</v>
      </c>
    </row>
    <row r="34" spans="1:7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  <c r="G34" s="3" t="s">
        <v>118</v>
      </c>
    </row>
    <row r="35" spans="1:7" x14ac:dyDescent="0.2">
      <c r="A35" s="3" t="s">
        <v>150</v>
      </c>
    </row>
    <row r="36" spans="1:7" x14ac:dyDescent="0.2">
      <c r="A36" s="3" t="s">
        <v>119</v>
      </c>
      <c r="B36" s="3" t="s">
        <v>119</v>
      </c>
    </row>
    <row r="37" spans="1:7" x14ac:dyDescent="0.2">
      <c r="A37" s="3" t="s">
        <v>120</v>
      </c>
    </row>
    <row r="38" spans="1:7" x14ac:dyDescent="0.2">
      <c r="A38" s="3" t="s">
        <v>121</v>
      </c>
      <c r="B38" s="3" t="s">
        <v>121</v>
      </c>
    </row>
    <row r="39" spans="1:7" x14ac:dyDescent="0.2">
      <c r="A39" s="3" t="s">
        <v>122</v>
      </c>
    </row>
    <row r="40" spans="1:7" x14ac:dyDescent="0.2">
      <c r="A40" s="3" t="s">
        <v>123</v>
      </c>
      <c r="B40" s="3" t="s">
        <v>123</v>
      </c>
      <c r="C40" s="3" t="s">
        <v>123</v>
      </c>
    </row>
    <row r="41" spans="1:7" x14ac:dyDescent="0.2">
      <c r="A41" s="3" t="s">
        <v>124</v>
      </c>
    </row>
    <row r="42" spans="1:7" x14ac:dyDescent="0.2">
      <c r="A42" s="3" t="s">
        <v>28</v>
      </c>
    </row>
    <row r="43" spans="1:7" x14ac:dyDescent="0.2">
      <c r="A43" s="3" t="s">
        <v>125</v>
      </c>
      <c r="B43" s="3" t="s">
        <v>125</v>
      </c>
    </row>
    <row r="44" spans="1:7" x14ac:dyDescent="0.2">
      <c r="A44" s="3" t="s">
        <v>126</v>
      </c>
      <c r="B44" s="3" t="s">
        <v>126</v>
      </c>
      <c r="C44" s="3" t="s">
        <v>126</v>
      </c>
    </row>
    <row r="45" spans="1:7" x14ac:dyDescent="0.2">
      <c r="A45" s="3" t="s">
        <v>127</v>
      </c>
    </row>
    <row r="46" spans="1:7" x14ac:dyDescent="0.2">
      <c r="A46" s="3" t="s">
        <v>128</v>
      </c>
      <c r="B46" s="3" t="s">
        <v>128</v>
      </c>
      <c r="C46" s="3" t="s">
        <v>128</v>
      </c>
      <c r="D46" s="3" t="s">
        <v>128</v>
      </c>
    </row>
    <row r="47" spans="1:7" x14ac:dyDescent="0.2">
      <c r="A47" s="3" t="s">
        <v>129</v>
      </c>
    </row>
    <row r="48" spans="1:7" x14ac:dyDescent="0.2">
      <c r="A48" s="3" t="s">
        <v>130</v>
      </c>
      <c r="B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  <c r="C52" s="4" t="s">
        <v>134</v>
      </c>
      <c r="D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  <c r="C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  <c r="C62" s="4" t="s">
        <v>144</v>
      </c>
      <c r="D62" s="4" t="s">
        <v>144</v>
      </c>
      <c r="E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10C9-0195-764F-BF04-0C7C9C781DDB}">
  <dimension ref="A1:G65"/>
  <sheetViews>
    <sheetView zoomScale="70" zoomScaleNormal="70" workbookViewId="0">
      <selection activeCell="A64" sqref="A64:D64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4" width="14.33203125" bestFit="1" customWidth="1"/>
    <col min="5" max="6" width="12.6640625" bestFit="1" customWidth="1"/>
    <col min="7" max="7" width="9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7" x14ac:dyDescent="0.2">
      <c r="A17" s="1" t="s">
        <v>106</v>
      </c>
    </row>
    <row r="18" spans="1:7" x14ac:dyDescent="0.2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  <c r="F18" s="2" t="s">
        <v>50</v>
      </c>
      <c r="G18" s="2" t="s">
        <v>50</v>
      </c>
    </row>
    <row r="19" spans="1:7" x14ac:dyDescent="0.2">
      <c r="A19" s="2" t="s">
        <v>148</v>
      </c>
    </row>
    <row r="20" spans="1:7" x14ac:dyDescent="0.2">
      <c r="A20" s="2" t="s">
        <v>107</v>
      </c>
      <c r="B20" s="2" t="s">
        <v>107</v>
      </c>
    </row>
    <row r="21" spans="1:7" x14ac:dyDescent="0.2">
      <c r="A21" s="2" t="s">
        <v>108</v>
      </c>
    </row>
    <row r="22" spans="1:7" x14ac:dyDescent="0.2">
      <c r="A22" s="2" t="s">
        <v>109</v>
      </c>
      <c r="B22" s="2" t="s">
        <v>109</v>
      </c>
    </row>
    <row r="23" spans="1:7" x14ac:dyDescent="0.2">
      <c r="A23" s="2" t="s">
        <v>30</v>
      </c>
    </row>
    <row r="24" spans="1:7" x14ac:dyDescent="0.2">
      <c r="A24" s="2" t="s">
        <v>110</v>
      </c>
      <c r="B24" s="2" t="s">
        <v>110</v>
      </c>
      <c r="C24" s="2" t="s">
        <v>110</v>
      </c>
    </row>
    <row r="25" spans="1:7" x14ac:dyDescent="0.2">
      <c r="A25" s="2" t="s">
        <v>111</v>
      </c>
    </row>
    <row r="26" spans="1:7" x14ac:dyDescent="0.2">
      <c r="A26" s="2" t="s">
        <v>112</v>
      </c>
      <c r="B26" s="2" t="s">
        <v>112</v>
      </c>
    </row>
    <row r="27" spans="1:7" x14ac:dyDescent="0.2">
      <c r="A27" s="2" t="s">
        <v>72</v>
      </c>
    </row>
    <row r="28" spans="1:7" x14ac:dyDescent="0.2">
      <c r="A28" s="2" t="s">
        <v>113</v>
      </c>
      <c r="B28" s="2" t="s">
        <v>113</v>
      </c>
      <c r="C28" s="2" t="s">
        <v>113</v>
      </c>
    </row>
    <row r="29" spans="1:7" x14ac:dyDescent="0.2">
      <c r="A29" s="2" t="s">
        <v>114</v>
      </c>
    </row>
    <row r="30" spans="1:7" x14ac:dyDescent="0.2">
      <c r="A30" s="2" t="s">
        <v>75</v>
      </c>
      <c r="B30" s="2" t="s">
        <v>75</v>
      </c>
    </row>
    <row r="31" spans="1:7" x14ac:dyDescent="0.2">
      <c r="A31" s="2" t="s">
        <v>115</v>
      </c>
    </row>
    <row r="32" spans="1:7" x14ac:dyDescent="0.2">
      <c r="A32" s="2" t="s">
        <v>116</v>
      </c>
      <c r="B32" s="2" t="s">
        <v>116</v>
      </c>
      <c r="C32" s="2" t="s">
        <v>116</v>
      </c>
      <c r="D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  <c r="B52" s="4" t="s">
        <v>134</v>
      </c>
    </row>
    <row r="53" spans="1:6" x14ac:dyDescent="0.2">
      <c r="A53" s="4" t="s">
        <v>135</v>
      </c>
    </row>
    <row r="54" spans="1:6" x14ac:dyDescent="0.2">
      <c r="A54" s="4" t="s">
        <v>136</v>
      </c>
      <c r="B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  <c r="B56" s="4" t="s">
        <v>138</v>
      </c>
      <c r="C56" s="4" t="s">
        <v>138</v>
      </c>
    </row>
    <row r="57" spans="1:6" x14ac:dyDescent="0.2">
      <c r="A57" s="4" t="s">
        <v>139</v>
      </c>
    </row>
    <row r="58" spans="1:6" x14ac:dyDescent="0.2">
      <c r="A58" s="4" t="s">
        <v>140</v>
      </c>
      <c r="B58" s="4" t="s">
        <v>140</v>
      </c>
    </row>
    <row r="59" spans="1:6" x14ac:dyDescent="0.2">
      <c r="A59" s="4" t="s">
        <v>141</v>
      </c>
    </row>
    <row r="60" spans="1:6" x14ac:dyDescent="0.2">
      <c r="A60" s="4" t="s">
        <v>142</v>
      </c>
      <c r="B60" s="4" t="s">
        <v>142</v>
      </c>
      <c r="C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  <c r="B62" s="4" t="s">
        <v>144</v>
      </c>
    </row>
    <row r="63" spans="1:6" x14ac:dyDescent="0.2">
      <c r="A63" s="4" t="s">
        <v>145</v>
      </c>
    </row>
    <row r="64" spans="1:6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9E91-A86D-3F40-8C50-C859527BFF7B}">
  <dimension ref="A1:G65"/>
  <sheetViews>
    <sheetView zoomScale="70" zoomScaleNormal="70" workbookViewId="0">
      <selection activeCell="A64" sqref="A64:D64"/>
    </sheetView>
  </sheetViews>
  <sheetFormatPr baseColWidth="10" defaultRowHeight="16" x14ac:dyDescent="0.2"/>
  <cols>
    <col min="1" max="1" width="33.33203125" bestFit="1" customWidth="1"/>
    <col min="2" max="2" width="21.83203125" bestFit="1" customWidth="1"/>
    <col min="3" max="3" width="14.33203125" bestFit="1" customWidth="1"/>
    <col min="4" max="4" width="11.83203125" bestFit="1" customWidth="1"/>
    <col min="5" max="5" width="11.33203125" bestFit="1" customWidth="1"/>
    <col min="6" max="6" width="12.6640625" bestFit="1" customWidth="1"/>
    <col min="7" max="7" width="8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  <c r="E12" s="1" t="s">
        <v>103</v>
      </c>
      <c r="F12" s="1" t="s">
        <v>103</v>
      </c>
      <c r="G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  <c r="B20" s="2" t="s">
        <v>107</v>
      </c>
    </row>
    <row r="21" spans="1:5" x14ac:dyDescent="0.2">
      <c r="A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  <c r="B36" s="3" t="s">
        <v>119</v>
      </c>
    </row>
    <row r="37" spans="1:6" x14ac:dyDescent="0.2">
      <c r="A37" s="3" t="s">
        <v>120</v>
      </c>
    </row>
    <row r="38" spans="1:6" x14ac:dyDescent="0.2">
      <c r="A38" s="3" t="s">
        <v>121</v>
      </c>
      <c r="B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  <c r="B40" s="3" t="s">
        <v>123</v>
      </c>
      <c r="C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  <c r="C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  <c r="C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C539-07D3-CF42-84AF-A23B578B8CDC}">
  <dimension ref="A1:G65"/>
  <sheetViews>
    <sheetView zoomScale="70" zoomScaleNormal="70" workbookViewId="0">
      <selection activeCell="E8" sqref="E8"/>
    </sheetView>
  </sheetViews>
  <sheetFormatPr baseColWidth="10" defaultRowHeight="16" x14ac:dyDescent="0.2"/>
  <cols>
    <col min="1" max="1" width="33.33203125" bestFit="1" customWidth="1"/>
    <col min="2" max="2" width="21.83203125" bestFit="1" customWidth="1"/>
    <col min="3" max="3" width="14.33203125" bestFit="1" customWidth="1"/>
    <col min="4" max="7" width="12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  <c r="E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7" x14ac:dyDescent="0.2">
      <c r="A17" s="1" t="s">
        <v>106</v>
      </c>
    </row>
    <row r="18" spans="1:7" x14ac:dyDescent="0.2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  <c r="F18" s="2" t="s">
        <v>50</v>
      </c>
      <c r="G18" s="2" t="s">
        <v>50</v>
      </c>
    </row>
    <row r="19" spans="1:7" x14ac:dyDescent="0.2">
      <c r="A19" s="2" t="s">
        <v>148</v>
      </c>
    </row>
    <row r="20" spans="1:7" x14ac:dyDescent="0.2">
      <c r="A20" s="2" t="s">
        <v>107</v>
      </c>
    </row>
    <row r="21" spans="1:7" x14ac:dyDescent="0.2">
      <c r="A21" s="2" t="s">
        <v>108</v>
      </c>
      <c r="B21" s="2" t="s">
        <v>108</v>
      </c>
    </row>
    <row r="22" spans="1:7" x14ac:dyDescent="0.2">
      <c r="A22" s="2" t="s">
        <v>109</v>
      </c>
      <c r="B22" s="2" t="s">
        <v>109</v>
      </c>
    </row>
    <row r="23" spans="1:7" x14ac:dyDescent="0.2">
      <c r="A23" s="2" t="s">
        <v>30</v>
      </c>
    </row>
    <row r="24" spans="1:7" x14ac:dyDescent="0.2">
      <c r="A24" s="2" t="s">
        <v>110</v>
      </c>
      <c r="B24" s="2" t="s">
        <v>110</v>
      </c>
      <c r="C24" s="2" t="s">
        <v>110</v>
      </c>
    </row>
    <row r="25" spans="1:7" x14ac:dyDescent="0.2">
      <c r="A25" s="2" t="s">
        <v>111</v>
      </c>
    </row>
    <row r="26" spans="1:7" x14ac:dyDescent="0.2">
      <c r="A26" s="2" t="s">
        <v>112</v>
      </c>
      <c r="B26" s="2" t="s">
        <v>112</v>
      </c>
    </row>
    <row r="27" spans="1:7" x14ac:dyDescent="0.2">
      <c r="A27" s="2" t="s">
        <v>72</v>
      </c>
    </row>
    <row r="28" spans="1:7" x14ac:dyDescent="0.2">
      <c r="A28" s="2" t="s">
        <v>113</v>
      </c>
      <c r="B28" s="2" t="s">
        <v>113</v>
      </c>
      <c r="C28" s="2" t="s">
        <v>113</v>
      </c>
    </row>
    <row r="29" spans="1:7" x14ac:dyDescent="0.2">
      <c r="A29" s="2" t="s">
        <v>114</v>
      </c>
    </row>
    <row r="30" spans="1:7" x14ac:dyDescent="0.2">
      <c r="A30" s="2" t="s">
        <v>75</v>
      </c>
    </row>
    <row r="31" spans="1:7" x14ac:dyDescent="0.2">
      <c r="A31" s="2" t="s">
        <v>115</v>
      </c>
      <c r="B31" s="2" t="s">
        <v>115</v>
      </c>
    </row>
    <row r="32" spans="1:7" x14ac:dyDescent="0.2">
      <c r="A32" s="2" t="s">
        <v>116</v>
      </c>
      <c r="B32" s="2" t="s">
        <v>116</v>
      </c>
      <c r="C32" s="2" t="s">
        <v>116</v>
      </c>
      <c r="D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  <c r="C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</row>
    <row r="47" spans="1:5" x14ac:dyDescent="0.2">
      <c r="A47" s="3" t="s">
        <v>129</v>
      </c>
      <c r="B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  <c r="B52" s="4" t="s">
        <v>134</v>
      </c>
    </row>
    <row r="53" spans="1:6" x14ac:dyDescent="0.2">
      <c r="A53" s="4" t="s">
        <v>135</v>
      </c>
    </row>
    <row r="54" spans="1:6" x14ac:dyDescent="0.2">
      <c r="A54" s="4" t="s">
        <v>136</v>
      </c>
      <c r="B54" s="4" t="s">
        <v>136</v>
      </c>
      <c r="C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  <c r="B56" s="4" t="s">
        <v>138</v>
      </c>
    </row>
    <row r="57" spans="1:6" x14ac:dyDescent="0.2">
      <c r="A57" s="4" t="s">
        <v>139</v>
      </c>
    </row>
    <row r="58" spans="1:6" x14ac:dyDescent="0.2">
      <c r="A58" s="4" t="s">
        <v>140</v>
      </c>
      <c r="B58" s="4" t="s">
        <v>140</v>
      </c>
      <c r="C58" s="4" t="s">
        <v>140</v>
      </c>
    </row>
    <row r="59" spans="1:6" x14ac:dyDescent="0.2">
      <c r="A59" s="4" t="s">
        <v>141</v>
      </c>
    </row>
    <row r="60" spans="1:6" x14ac:dyDescent="0.2">
      <c r="A60" s="4" t="s">
        <v>142</v>
      </c>
      <c r="B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  <c r="B62" s="4" t="s">
        <v>144</v>
      </c>
    </row>
    <row r="63" spans="1:6" x14ac:dyDescent="0.2">
      <c r="A63" s="4" t="s">
        <v>145</v>
      </c>
    </row>
    <row r="64" spans="1:6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12AE-BA99-284D-9E49-FD155EA6BD42}">
  <dimension ref="A1:G65"/>
  <sheetViews>
    <sheetView zoomScale="70" zoomScaleNormal="70" workbookViewId="0">
      <selection activeCell="H17" sqref="H17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3" width="14.33203125" bestFit="1" customWidth="1"/>
    <col min="4" max="4" width="11.83203125" bestFit="1" customWidth="1"/>
    <col min="5" max="5" width="11.33203125" bestFit="1" customWidth="1"/>
    <col min="6" max="6" width="12.6640625" bestFit="1" customWidth="1"/>
    <col min="7" max="7" width="9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  <c r="C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  <c r="D8" s="1" t="s">
        <v>99</v>
      </c>
      <c r="E8" s="1" t="s">
        <v>99</v>
      </c>
      <c r="F8" s="1" t="s">
        <v>99</v>
      </c>
      <c r="G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  <c r="C10" s="1" t="s">
        <v>101</v>
      </c>
      <c r="D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  <c r="C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  <c r="B20" s="2" t="s">
        <v>107</v>
      </c>
    </row>
    <row r="21" spans="1:5" x14ac:dyDescent="0.2">
      <c r="A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  <c r="D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  <c r="D26" s="2" t="s">
        <v>112</v>
      </c>
      <c r="E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  <c r="C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  <c r="B36" s="3" t="s">
        <v>119</v>
      </c>
      <c r="C36" s="3" t="s">
        <v>119</v>
      </c>
      <c r="D36" s="3" t="s">
        <v>119</v>
      </c>
    </row>
    <row r="37" spans="1:6" x14ac:dyDescent="0.2">
      <c r="A37" s="3" t="s">
        <v>120</v>
      </c>
    </row>
    <row r="38" spans="1:6" x14ac:dyDescent="0.2">
      <c r="A38" s="3" t="s">
        <v>121</v>
      </c>
      <c r="B38" s="3" t="s">
        <v>121</v>
      </c>
      <c r="C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  <c r="B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  <c r="C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  <c r="C46" s="3" t="s">
        <v>128</v>
      </c>
      <c r="D46" s="3" t="s">
        <v>128</v>
      </c>
      <c r="E46" s="3" t="s">
        <v>128</v>
      </c>
      <c r="F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  <c r="C52" s="4" t="s">
        <v>134</v>
      </c>
      <c r="D52" s="4" t="s">
        <v>134</v>
      </c>
      <c r="E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  <c r="C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  <c r="C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  <c r="C62" s="4" t="s">
        <v>144</v>
      </c>
      <c r="D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FCF3-E407-5945-9938-4AFFDC343EAF}">
  <dimension ref="A1:G65"/>
  <sheetViews>
    <sheetView zoomScale="70" zoomScaleNormal="70" workbookViewId="0">
      <selection activeCell="I59" sqref="I59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6" width="12.6640625" bestFit="1" customWidth="1"/>
    <col min="7" max="7" width="10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  <c r="D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  <c r="E16" s="1" t="s">
        <v>149</v>
      </c>
      <c r="F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  <c r="D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  <c r="D28" s="2" t="s">
        <v>113</v>
      </c>
      <c r="E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  <c r="C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</row>
    <row r="33" spans="1:7" x14ac:dyDescent="0.2">
      <c r="A33" s="2" t="s">
        <v>117</v>
      </c>
    </row>
    <row r="34" spans="1:7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  <c r="G34" s="3" t="s">
        <v>118</v>
      </c>
    </row>
    <row r="35" spans="1:7" x14ac:dyDescent="0.2">
      <c r="A35" s="3" t="s">
        <v>150</v>
      </c>
    </row>
    <row r="36" spans="1:7" x14ac:dyDescent="0.2">
      <c r="A36" s="3" t="s">
        <v>119</v>
      </c>
      <c r="B36" s="3" t="s">
        <v>119</v>
      </c>
    </row>
    <row r="37" spans="1:7" x14ac:dyDescent="0.2">
      <c r="A37" s="3" t="s">
        <v>120</v>
      </c>
    </row>
    <row r="38" spans="1:7" x14ac:dyDescent="0.2">
      <c r="A38" s="3" t="s">
        <v>121</v>
      </c>
      <c r="B38" s="3" t="s">
        <v>121</v>
      </c>
      <c r="C38" s="3" t="s">
        <v>121</v>
      </c>
    </row>
    <row r="39" spans="1:7" x14ac:dyDescent="0.2">
      <c r="A39" s="3" t="s">
        <v>122</v>
      </c>
    </row>
    <row r="40" spans="1:7" x14ac:dyDescent="0.2">
      <c r="A40" s="3" t="s">
        <v>123</v>
      </c>
      <c r="B40" s="3" t="s">
        <v>123</v>
      </c>
    </row>
    <row r="41" spans="1:7" x14ac:dyDescent="0.2">
      <c r="A41" s="3" t="s">
        <v>124</v>
      </c>
    </row>
    <row r="42" spans="1:7" x14ac:dyDescent="0.2">
      <c r="A42" s="3" t="s">
        <v>28</v>
      </c>
      <c r="B42" s="3" t="s">
        <v>28</v>
      </c>
    </row>
    <row r="43" spans="1:7" x14ac:dyDescent="0.2">
      <c r="A43" s="3" t="s">
        <v>125</v>
      </c>
    </row>
    <row r="44" spans="1:7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7" x14ac:dyDescent="0.2">
      <c r="A45" s="3" t="s">
        <v>127</v>
      </c>
    </row>
    <row r="46" spans="1:7" x14ac:dyDescent="0.2">
      <c r="A46" s="3" t="s">
        <v>128</v>
      </c>
      <c r="B46" s="3" t="s">
        <v>128</v>
      </c>
    </row>
    <row r="47" spans="1:7" x14ac:dyDescent="0.2">
      <c r="A47" s="3" t="s">
        <v>129</v>
      </c>
    </row>
    <row r="48" spans="1:7" x14ac:dyDescent="0.2">
      <c r="A48" s="3" t="s">
        <v>130</v>
      </c>
      <c r="B48" s="3" t="s">
        <v>130</v>
      </c>
      <c r="C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  <c r="C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  <c r="C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  <c r="D64" s="4" t="s">
        <v>146</v>
      </c>
      <c r="E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99BF-65B6-F94F-8EFA-68DCCBAAE113}">
  <dimension ref="A1:G65"/>
  <sheetViews>
    <sheetView zoomScale="70" zoomScaleNormal="70" workbookViewId="0">
      <selection activeCell="C22" sqref="C22:D22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3" width="14.33203125" bestFit="1" customWidth="1"/>
    <col min="4" max="4" width="13.6640625" bestFit="1" customWidth="1"/>
    <col min="5" max="5" width="10.1640625" bestFit="1" customWidth="1"/>
    <col min="6" max="6" width="12.6640625" bestFit="1" customWidth="1"/>
    <col min="7" max="7" width="9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  <c r="D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</row>
    <row r="27" spans="1:5" x14ac:dyDescent="0.2">
      <c r="A27" s="2" t="s">
        <v>72</v>
      </c>
      <c r="B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  <c r="D28" s="2" t="s">
        <v>113</v>
      </c>
      <c r="E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</row>
    <row r="31" spans="1:5" x14ac:dyDescent="0.2">
      <c r="A31" s="2" t="s">
        <v>115</v>
      </c>
      <c r="B31" s="2" t="s">
        <v>115</v>
      </c>
      <c r="C31" s="2" t="s">
        <v>115</v>
      </c>
    </row>
    <row r="32" spans="1:5" x14ac:dyDescent="0.2">
      <c r="A32" s="2" t="s">
        <v>116</v>
      </c>
      <c r="B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</row>
    <row r="43" spans="1:5" x14ac:dyDescent="0.2">
      <c r="A43" s="3" t="s">
        <v>125</v>
      </c>
      <c r="B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</row>
    <row r="47" spans="1:5" x14ac:dyDescent="0.2">
      <c r="A47" s="3" t="s">
        <v>129</v>
      </c>
      <c r="B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</row>
    <row r="49" spans="1:7" x14ac:dyDescent="0.2">
      <c r="A49" s="3" t="s">
        <v>131</v>
      </c>
    </row>
    <row r="50" spans="1:7" x14ac:dyDescent="0.2">
      <c r="A50" s="4" t="s">
        <v>132</v>
      </c>
      <c r="B50" s="4" t="s">
        <v>132</v>
      </c>
      <c r="C50" s="4" t="s">
        <v>132</v>
      </c>
      <c r="D50" s="4" t="s">
        <v>132</v>
      </c>
    </row>
    <row r="51" spans="1:7" x14ac:dyDescent="0.2">
      <c r="A51" s="4" t="s">
        <v>133</v>
      </c>
    </row>
    <row r="52" spans="1:7" x14ac:dyDescent="0.2">
      <c r="A52" s="4" t="s">
        <v>134</v>
      </c>
    </row>
    <row r="53" spans="1:7" x14ac:dyDescent="0.2">
      <c r="A53" s="4" t="s">
        <v>135</v>
      </c>
      <c r="B53" s="4" t="s">
        <v>135</v>
      </c>
    </row>
    <row r="54" spans="1:7" x14ac:dyDescent="0.2">
      <c r="A54" s="4" t="s">
        <v>136</v>
      </c>
      <c r="B54" s="4" t="s">
        <v>136</v>
      </c>
    </row>
    <row r="55" spans="1:7" x14ac:dyDescent="0.2">
      <c r="A55" s="4" t="s">
        <v>137</v>
      </c>
    </row>
    <row r="56" spans="1:7" x14ac:dyDescent="0.2">
      <c r="A56" s="4" t="s">
        <v>138</v>
      </c>
      <c r="B56" s="4" t="s">
        <v>138</v>
      </c>
      <c r="C56" s="4" t="s">
        <v>138</v>
      </c>
    </row>
    <row r="57" spans="1:7" x14ac:dyDescent="0.2">
      <c r="A57" s="4" t="s">
        <v>139</v>
      </c>
    </row>
    <row r="58" spans="1:7" x14ac:dyDescent="0.2">
      <c r="A58" s="4" t="s">
        <v>140</v>
      </c>
      <c r="B58" s="4" t="s">
        <v>140</v>
      </c>
      <c r="C58" s="4" t="s">
        <v>140</v>
      </c>
    </row>
    <row r="59" spans="1:7" x14ac:dyDescent="0.2">
      <c r="A59" s="4" t="s">
        <v>141</v>
      </c>
    </row>
    <row r="60" spans="1:7" x14ac:dyDescent="0.2">
      <c r="A60" s="4" t="s">
        <v>142</v>
      </c>
      <c r="B60" s="4" t="s">
        <v>142</v>
      </c>
    </row>
    <row r="61" spans="1:7" x14ac:dyDescent="0.2">
      <c r="A61" s="4" t="s">
        <v>143</v>
      </c>
    </row>
    <row r="62" spans="1:7" x14ac:dyDescent="0.2">
      <c r="A62" s="4" t="s">
        <v>144</v>
      </c>
    </row>
    <row r="63" spans="1:7" x14ac:dyDescent="0.2">
      <c r="A63" s="4" t="s">
        <v>145</v>
      </c>
      <c r="B63" s="4" t="s">
        <v>145</v>
      </c>
    </row>
    <row r="64" spans="1:7" x14ac:dyDescent="0.2">
      <c r="A64" s="4" t="s">
        <v>146</v>
      </c>
      <c r="B64" s="4" t="s">
        <v>146</v>
      </c>
      <c r="C64" s="4" t="s">
        <v>146</v>
      </c>
      <c r="D64" s="4" t="s">
        <v>146</v>
      </c>
      <c r="E64" s="4" t="s">
        <v>146</v>
      </c>
      <c r="F64" s="4" t="s">
        <v>146</v>
      </c>
      <c r="G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A333-032E-5141-9FA3-FFF0DE31DAD9}">
  <dimension ref="A1:G65"/>
  <sheetViews>
    <sheetView zoomScale="70" zoomScaleNormal="70" workbookViewId="0">
      <selection activeCell="A64" sqref="A64:E64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  <c r="C10" s="1" t="s">
        <v>101</v>
      </c>
      <c r="D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7" x14ac:dyDescent="0.2">
      <c r="A17" s="1" t="s">
        <v>106</v>
      </c>
    </row>
    <row r="18" spans="1:7" x14ac:dyDescent="0.2">
      <c r="A18" s="2" t="s">
        <v>50</v>
      </c>
      <c r="B18" s="2" t="s">
        <v>50</v>
      </c>
      <c r="C18" s="2" t="s">
        <v>50</v>
      </c>
    </row>
    <row r="19" spans="1:7" x14ac:dyDescent="0.2">
      <c r="A19" s="2" t="s">
        <v>148</v>
      </c>
    </row>
    <row r="20" spans="1:7" x14ac:dyDescent="0.2">
      <c r="A20" s="2" t="s">
        <v>107</v>
      </c>
    </row>
    <row r="21" spans="1:7" x14ac:dyDescent="0.2">
      <c r="A21" s="2" t="s">
        <v>108</v>
      </c>
      <c r="B21" s="2" t="s">
        <v>108</v>
      </c>
    </row>
    <row r="22" spans="1:7" x14ac:dyDescent="0.2">
      <c r="A22" s="2" t="s">
        <v>109</v>
      </c>
      <c r="B22" s="2" t="s">
        <v>109</v>
      </c>
    </row>
    <row r="23" spans="1:7" x14ac:dyDescent="0.2">
      <c r="A23" s="2" t="s">
        <v>30</v>
      </c>
    </row>
    <row r="24" spans="1:7" x14ac:dyDescent="0.2">
      <c r="A24" s="2" t="s">
        <v>110</v>
      </c>
      <c r="B24" s="2" t="s">
        <v>110</v>
      </c>
      <c r="C24" s="2" t="s">
        <v>110</v>
      </c>
      <c r="D24" s="2" t="s">
        <v>110</v>
      </c>
    </row>
    <row r="25" spans="1:7" x14ac:dyDescent="0.2">
      <c r="A25" s="2" t="s">
        <v>111</v>
      </c>
    </row>
    <row r="26" spans="1:7" x14ac:dyDescent="0.2">
      <c r="A26" s="2" t="s">
        <v>112</v>
      </c>
      <c r="B26" s="2" t="s">
        <v>112</v>
      </c>
      <c r="C26" s="2" t="s">
        <v>112</v>
      </c>
    </row>
    <row r="27" spans="1:7" x14ac:dyDescent="0.2">
      <c r="A27" s="2" t="s">
        <v>72</v>
      </c>
    </row>
    <row r="28" spans="1:7" x14ac:dyDescent="0.2">
      <c r="A28" s="2" t="s">
        <v>113</v>
      </c>
      <c r="B28" s="2" t="s">
        <v>113</v>
      </c>
    </row>
    <row r="29" spans="1:7" x14ac:dyDescent="0.2">
      <c r="A29" s="2" t="s">
        <v>114</v>
      </c>
    </row>
    <row r="30" spans="1:7" x14ac:dyDescent="0.2">
      <c r="A30" s="2" t="s">
        <v>75</v>
      </c>
      <c r="B30" s="2" t="s">
        <v>75</v>
      </c>
    </row>
    <row r="31" spans="1:7" x14ac:dyDescent="0.2">
      <c r="A31" s="2" t="s">
        <v>115</v>
      </c>
    </row>
    <row r="32" spans="1:7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  <c r="F32" s="2" t="s">
        <v>116</v>
      </c>
      <c r="G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</row>
    <row r="37" spans="1:6" x14ac:dyDescent="0.2">
      <c r="A37" s="3" t="s">
        <v>120</v>
      </c>
      <c r="B37" s="3" t="s">
        <v>120</v>
      </c>
    </row>
    <row r="38" spans="1:6" x14ac:dyDescent="0.2">
      <c r="A38" s="3" t="s">
        <v>121</v>
      </c>
    </row>
    <row r="39" spans="1:6" x14ac:dyDescent="0.2">
      <c r="A39" s="3" t="s">
        <v>122</v>
      </c>
      <c r="B39" s="3" t="s">
        <v>122</v>
      </c>
      <c r="C39" s="3" t="s">
        <v>122</v>
      </c>
    </row>
    <row r="40" spans="1:6" x14ac:dyDescent="0.2">
      <c r="A40" s="3" t="s">
        <v>123</v>
      </c>
      <c r="B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  <c r="C42" s="3" t="s">
        <v>28</v>
      </c>
      <c r="D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  <c r="C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</row>
    <row r="53" spans="1:5" x14ac:dyDescent="0.2">
      <c r="A53" s="4" t="s">
        <v>135</v>
      </c>
      <c r="B53" s="4" t="s">
        <v>135</v>
      </c>
    </row>
    <row r="54" spans="1:5" x14ac:dyDescent="0.2">
      <c r="A54" s="4" t="s">
        <v>136</v>
      </c>
      <c r="B54" s="4" t="s">
        <v>136</v>
      </c>
      <c r="C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  <c r="D64" s="4" t="s">
        <v>146</v>
      </c>
      <c r="E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D1C7-6964-154E-B68C-19D5A6026091}">
  <dimension ref="A1:G65"/>
  <sheetViews>
    <sheetView zoomScale="70" zoomScaleNormal="70" workbookViewId="0">
      <selection activeCell="A64" sqref="A64:D64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3" width="14.33203125" bestFit="1" customWidth="1"/>
    <col min="4" max="4" width="11.83203125" bestFit="1" customWidth="1"/>
    <col min="5" max="5" width="11.1640625" bestFit="1" customWidth="1"/>
    <col min="6" max="6" width="12.6640625" bestFit="1" customWidth="1"/>
    <col min="7" max="7" width="10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7" x14ac:dyDescent="0.2">
      <c r="A17" s="1" t="s">
        <v>106</v>
      </c>
    </row>
    <row r="18" spans="1:7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7" x14ac:dyDescent="0.2">
      <c r="A19" s="2" t="s">
        <v>148</v>
      </c>
    </row>
    <row r="20" spans="1:7" x14ac:dyDescent="0.2">
      <c r="A20" s="2" t="s">
        <v>107</v>
      </c>
      <c r="B20" s="2" t="s">
        <v>107</v>
      </c>
    </row>
    <row r="21" spans="1:7" x14ac:dyDescent="0.2">
      <c r="A21" s="2" t="s">
        <v>108</v>
      </c>
    </row>
    <row r="22" spans="1:7" x14ac:dyDescent="0.2">
      <c r="A22" s="2" t="s">
        <v>109</v>
      </c>
      <c r="B22" s="2" t="s">
        <v>109</v>
      </c>
    </row>
    <row r="23" spans="1:7" x14ac:dyDescent="0.2">
      <c r="A23" s="2" t="s">
        <v>30</v>
      </c>
    </row>
    <row r="24" spans="1:7" x14ac:dyDescent="0.2">
      <c r="A24" s="2" t="s">
        <v>110</v>
      </c>
      <c r="B24" s="2" t="s">
        <v>110</v>
      </c>
      <c r="C24" s="2" t="s">
        <v>110</v>
      </c>
    </row>
    <row r="25" spans="1:7" x14ac:dyDescent="0.2">
      <c r="A25" s="2" t="s">
        <v>111</v>
      </c>
    </row>
    <row r="26" spans="1:7" x14ac:dyDescent="0.2">
      <c r="A26" s="2" t="s">
        <v>112</v>
      </c>
      <c r="B26" s="2" t="s">
        <v>112</v>
      </c>
      <c r="C26" s="2" t="s">
        <v>112</v>
      </c>
    </row>
    <row r="27" spans="1:7" x14ac:dyDescent="0.2">
      <c r="A27" s="2" t="s">
        <v>72</v>
      </c>
    </row>
    <row r="28" spans="1:7" x14ac:dyDescent="0.2">
      <c r="A28" s="2" t="s">
        <v>113</v>
      </c>
      <c r="B28" s="2" t="s">
        <v>113</v>
      </c>
    </row>
    <row r="29" spans="1:7" x14ac:dyDescent="0.2">
      <c r="A29" s="2" t="s">
        <v>114</v>
      </c>
    </row>
    <row r="30" spans="1:7" x14ac:dyDescent="0.2">
      <c r="A30" s="2" t="s">
        <v>75</v>
      </c>
      <c r="B30" s="2" t="s">
        <v>75</v>
      </c>
    </row>
    <row r="31" spans="1:7" x14ac:dyDescent="0.2">
      <c r="A31" s="2" t="s">
        <v>115</v>
      </c>
    </row>
    <row r="32" spans="1:7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  <c r="F32" s="2" t="s">
        <v>116</v>
      </c>
      <c r="G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  <c r="B36" s="3" t="s">
        <v>119</v>
      </c>
    </row>
    <row r="37" spans="1:6" x14ac:dyDescent="0.2">
      <c r="A37" s="3" t="s">
        <v>120</v>
      </c>
    </row>
    <row r="38" spans="1:6" x14ac:dyDescent="0.2">
      <c r="A38" s="3" t="s">
        <v>121</v>
      </c>
      <c r="B38" s="3" t="s">
        <v>121</v>
      </c>
      <c r="C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  <c r="B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  <c r="C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  <c r="C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9B05-DFD7-9B4F-A685-9760633BE1AB}">
  <dimension ref="A1:G65"/>
  <sheetViews>
    <sheetView zoomScale="70" zoomScaleNormal="70" workbookViewId="0">
      <selection activeCell="A64" sqref="A64:C64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3" width="12.6640625" bestFit="1" customWidth="1"/>
    <col min="4" max="5" width="11.83203125" bestFit="1" customWidth="1"/>
    <col min="6" max="6" width="12.6640625" bestFit="1" customWidth="1"/>
    <col min="7" max="7" width="10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  <c r="E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  <c r="C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</row>
    <row r="17" spans="1:6" x14ac:dyDescent="0.2">
      <c r="A17" s="1" t="s">
        <v>106</v>
      </c>
    </row>
    <row r="18" spans="1:6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6" x14ac:dyDescent="0.2">
      <c r="A19" s="2" t="s">
        <v>148</v>
      </c>
    </row>
    <row r="20" spans="1:6" x14ac:dyDescent="0.2">
      <c r="A20" s="2" t="s">
        <v>107</v>
      </c>
    </row>
    <row r="21" spans="1:6" x14ac:dyDescent="0.2">
      <c r="A21" s="2" t="s">
        <v>108</v>
      </c>
      <c r="B21" s="2" t="s">
        <v>108</v>
      </c>
    </row>
    <row r="22" spans="1:6" x14ac:dyDescent="0.2">
      <c r="A22" s="2" t="s">
        <v>109</v>
      </c>
      <c r="B22" s="2" t="s">
        <v>109</v>
      </c>
    </row>
    <row r="23" spans="1:6" x14ac:dyDescent="0.2">
      <c r="A23" s="2" t="s">
        <v>30</v>
      </c>
    </row>
    <row r="24" spans="1:6" x14ac:dyDescent="0.2">
      <c r="A24" s="2" t="s">
        <v>110</v>
      </c>
      <c r="B24" s="2" t="s">
        <v>110</v>
      </c>
      <c r="C24" s="2" t="s">
        <v>110</v>
      </c>
    </row>
    <row r="25" spans="1:6" x14ac:dyDescent="0.2">
      <c r="A25" s="2" t="s">
        <v>111</v>
      </c>
    </row>
    <row r="26" spans="1:6" x14ac:dyDescent="0.2">
      <c r="A26" s="2" t="s">
        <v>112</v>
      </c>
      <c r="B26" s="2" t="s">
        <v>112</v>
      </c>
    </row>
    <row r="27" spans="1:6" x14ac:dyDescent="0.2">
      <c r="A27" s="2" t="s">
        <v>72</v>
      </c>
    </row>
    <row r="28" spans="1:6" x14ac:dyDescent="0.2">
      <c r="A28" s="2" t="s">
        <v>113</v>
      </c>
      <c r="B28" s="2" t="s">
        <v>113</v>
      </c>
      <c r="C28" s="2" t="s">
        <v>113</v>
      </c>
    </row>
    <row r="29" spans="1:6" x14ac:dyDescent="0.2">
      <c r="A29" s="2" t="s">
        <v>114</v>
      </c>
    </row>
    <row r="30" spans="1:6" x14ac:dyDescent="0.2">
      <c r="A30" s="2" t="s">
        <v>75</v>
      </c>
      <c r="B30" s="2" t="s">
        <v>75</v>
      </c>
    </row>
    <row r="31" spans="1:6" x14ac:dyDescent="0.2">
      <c r="A31" s="2" t="s">
        <v>115</v>
      </c>
    </row>
    <row r="32" spans="1:6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  <c r="F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</row>
    <row r="37" spans="1:5" x14ac:dyDescent="0.2">
      <c r="A37" s="3" t="s">
        <v>120</v>
      </c>
      <c r="B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7" x14ac:dyDescent="0.2">
      <c r="A49" s="3" t="s">
        <v>131</v>
      </c>
    </row>
    <row r="50" spans="1:7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  <c r="G50" s="4" t="s">
        <v>132</v>
      </c>
    </row>
    <row r="51" spans="1:7" x14ac:dyDescent="0.2">
      <c r="A51" s="4" t="s">
        <v>133</v>
      </c>
    </row>
    <row r="52" spans="1:7" x14ac:dyDescent="0.2">
      <c r="A52" s="4" t="s">
        <v>134</v>
      </c>
      <c r="B52" s="4" t="s">
        <v>134</v>
      </c>
    </row>
    <row r="53" spans="1:7" x14ac:dyDescent="0.2">
      <c r="A53" s="4" t="s">
        <v>135</v>
      </c>
    </row>
    <row r="54" spans="1:7" x14ac:dyDescent="0.2">
      <c r="A54" s="4" t="s">
        <v>136</v>
      </c>
      <c r="B54" s="4" t="s">
        <v>136</v>
      </c>
    </row>
    <row r="55" spans="1:7" x14ac:dyDescent="0.2">
      <c r="A55" s="4" t="s">
        <v>137</v>
      </c>
    </row>
    <row r="56" spans="1:7" x14ac:dyDescent="0.2">
      <c r="A56" s="4" t="s">
        <v>138</v>
      </c>
      <c r="B56" s="4" t="s">
        <v>138</v>
      </c>
      <c r="C56" s="4" t="s">
        <v>138</v>
      </c>
    </row>
    <row r="57" spans="1:7" x14ac:dyDescent="0.2">
      <c r="A57" s="4" t="s">
        <v>139</v>
      </c>
    </row>
    <row r="58" spans="1:7" x14ac:dyDescent="0.2">
      <c r="A58" s="4" t="s">
        <v>140</v>
      </c>
      <c r="B58" s="4" t="s">
        <v>140</v>
      </c>
    </row>
    <row r="59" spans="1:7" x14ac:dyDescent="0.2">
      <c r="A59" s="4" t="s">
        <v>141</v>
      </c>
    </row>
    <row r="60" spans="1:7" x14ac:dyDescent="0.2">
      <c r="A60" s="4" t="s">
        <v>142</v>
      </c>
      <c r="B60" s="4" t="s">
        <v>142</v>
      </c>
      <c r="C60" s="4" t="s">
        <v>142</v>
      </c>
      <c r="D60" s="4" t="s">
        <v>142</v>
      </c>
    </row>
    <row r="61" spans="1:7" x14ac:dyDescent="0.2">
      <c r="A61" s="4" t="s">
        <v>143</v>
      </c>
    </row>
    <row r="62" spans="1:7" x14ac:dyDescent="0.2">
      <c r="A62" s="4" t="s">
        <v>144</v>
      </c>
      <c r="B62" s="4" t="s">
        <v>144</v>
      </c>
    </row>
    <row r="63" spans="1:7" x14ac:dyDescent="0.2">
      <c r="A63" s="4" t="s">
        <v>145</v>
      </c>
    </row>
    <row r="64" spans="1:7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7AB6-7732-9741-8A80-A294A9231BF0}">
  <dimension ref="A1:G65"/>
  <sheetViews>
    <sheetView zoomScale="70" zoomScaleNormal="70" workbookViewId="0">
      <selection activeCell="A64" sqref="A64:D64"/>
    </sheetView>
  </sheetViews>
  <sheetFormatPr baseColWidth="10" defaultRowHeight="16" x14ac:dyDescent="0.2"/>
  <cols>
    <col min="1" max="1" width="33.33203125" bestFit="1" customWidth="1"/>
    <col min="2" max="2" width="15.1640625" bestFit="1" customWidth="1"/>
    <col min="3" max="6" width="12.6640625" bestFit="1" customWidth="1"/>
    <col min="7" max="7" width="10.1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</row>
    <row r="37" spans="1:5" x14ac:dyDescent="0.2">
      <c r="A37" s="3" t="s">
        <v>120</v>
      </c>
      <c r="B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7" x14ac:dyDescent="0.2">
      <c r="A49" s="3" t="s">
        <v>131</v>
      </c>
    </row>
    <row r="50" spans="1:7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  <c r="G50" s="4" t="s">
        <v>132</v>
      </c>
    </row>
    <row r="51" spans="1:7" x14ac:dyDescent="0.2">
      <c r="A51" s="4" t="s">
        <v>133</v>
      </c>
    </row>
    <row r="52" spans="1:7" x14ac:dyDescent="0.2">
      <c r="A52" s="4" t="s">
        <v>134</v>
      </c>
    </row>
    <row r="53" spans="1:7" x14ac:dyDescent="0.2">
      <c r="A53" s="4" t="s">
        <v>135</v>
      </c>
      <c r="B53" s="4" t="s">
        <v>135</v>
      </c>
    </row>
    <row r="54" spans="1:7" x14ac:dyDescent="0.2">
      <c r="A54" s="4" t="s">
        <v>136</v>
      </c>
      <c r="B54" s="4" t="s">
        <v>136</v>
      </c>
    </row>
    <row r="55" spans="1:7" x14ac:dyDescent="0.2">
      <c r="A55" s="4" t="s">
        <v>137</v>
      </c>
    </row>
    <row r="56" spans="1:7" x14ac:dyDescent="0.2">
      <c r="A56" s="4" t="s">
        <v>138</v>
      </c>
      <c r="B56" s="4" t="s">
        <v>138</v>
      </c>
      <c r="C56" s="4" t="s">
        <v>138</v>
      </c>
    </row>
    <row r="57" spans="1:7" x14ac:dyDescent="0.2">
      <c r="A57" s="4" t="s">
        <v>139</v>
      </c>
    </row>
    <row r="58" spans="1:7" x14ac:dyDescent="0.2">
      <c r="A58" s="4" t="s">
        <v>140</v>
      </c>
      <c r="B58" s="4" t="s">
        <v>140</v>
      </c>
    </row>
    <row r="59" spans="1:7" x14ac:dyDescent="0.2">
      <c r="A59" s="4" t="s">
        <v>141</v>
      </c>
    </row>
    <row r="60" spans="1:7" x14ac:dyDescent="0.2">
      <c r="A60" s="4" t="s">
        <v>142</v>
      </c>
      <c r="B60" s="4" t="s">
        <v>142</v>
      </c>
      <c r="C60" s="4" t="s">
        <v>142</v>
      </c>
    </row>
    <row r="61" spans="1:7" x14ac:dyDescent="0.2">
      <c r="A61" s="4" t="s">
        <v>143</v>
      </c>
    </row>
    <row r="62" spans="1:7" x14ac:dyDescent="0.2">
      <c r="A62" s="4" t="s">
        <v>144</v>
      </c>
      <c r="B62" s="4" t="s">
        <v>144</v>
      </c>
    </row>
    <row r="63" spans="1:7" x14ac:dyDescent="0.2">
      <c r="A63" s="4" t="s">
        <v>145</v>
      </c>
    </row>
    <row r="64" spans="1:7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1C17-9E89-5D4F-8797-FD0948DA3162}">
  <dimension ref="A1:G65"/>
  <sheetViews>
    <sheetView zoomScale="70" zoomScaleNormal="70" workbookViewId="0">
      <selection activeCell="A48" sqref="A48:B48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  <c r="D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</row>
    <row r="11" spans="1:7" x14ac:dyDescent="0.2">
      <c r="A11" s="1" t="s">
        <v>102</v>
      </c>
      <c r="B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  <c r="E12" s="1" t="s">
        <v>103</v>
      </c>
      <c r="F12" s="1" t="s">
        <v>103</v>
      </c>
      <c r="G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</row>
    <row r="37" spans="1:5" x14ac:dyDescent="0.2">
      <c r="A37" s="3" t="s">
        <v>120</v>
      </c>
      <c r="B37" s="3" t="s">
        <v>120</v>
      </c>
    </row>
    <row r="38" spans="1:5" x14ac:dyDescent="0.2">
      <c r="A38" s="3" t="s">
        <v>121</v>
      </c>
    </row>
    <row r="39" spans="1:5" x14ac:dyDescent="0.2">
      <c r="A39" s="3" t="s">
        <v>122</v>
      </c>
      <c r="B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</row>
    <row r="43" spans="1:5" x14ac:dyDescent="0.2">
      <c r="A43" s="3" t="s">
        <v>125</v>
      </c>
      <c r="B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</row>
    <row r="47" spans="1:5" x14ac:dyDescent="0.2">
      <c r="A47" s="3" t="s">
        <v>129</v>
      </c>
      <c r="B47" s="3" t="s">
        <v>129</v>
      </c>
      <c r="C47" s="3" t="s">
        <v>129</v>
      </c>
    </row>
    <row r="48" spans="1:5" x14ac:dyDescent="0.2">
      <c r="A48" s="3" t="s">
        <v>130</v>
      </c>
      <c r="B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  <c r="B52" s="4" t="s">
        <v>134</v>
      </c>
      <c r="C52" s="4" t="s">
        <v>134</v>
      </c>
    </row>
    <row r="53" spans="1:6" x14ac:dyDescent="0.2">
      <c r="A53" s="4" t="s">
        <v>135</v>
      </c>
    </row>
    <row r="54" spans="1:6" x14ac:dyDescent="0.2">
      <c r="A54" s="4" t="s">
        <v>136</v>
      </c>
      <c r="B54" s="4" t="s">
        <v>136</v>
      </c>
      <c r="C54" s="4" t="s">
        <v>136</v>
      </c>
      <c r="D54" s="4" t="s">
        <v>136</v>
      </c>
      <c r="E54" s="4" t="s">
        <v>136</v>
      </c>
      <c r="F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  <c r="B56" s="4" t="s">
        <v>138</v>
      </c>
    </row>
    <row r="57" spans="1:6" x14ac:dyDescent="0.2">
      <c r="A57" s="4" t="s">
        <v>139</v>
      </c>
    </row>
    <row r="58" spans="1:6" x14ac:dyDescent="0.2">
      <c r="A58" s="4" t="s">
        <v>140</v>
      </c>
    </row>
    <row r="59" spans="1:6" x14ac:dyDescent="0.2">
      <c r="A59" s="4" t="s">
        <v>141</v>
      </c>
      <c r="B59" s="4" t="s">
        <v>141</v>
      </c>
    </row>
    <row r="60" spans="1:6" x14ac:dyDescent="0.2">
      <c r="A60" s="4" t="s">
        <v>142</v>
      </c>
      <c r="B60" s="4" t="s">
        <v>142</v>
      </c>
      <c r="C60" s="4" t="s">
        <v>142</v>
      </c>
      <c r="D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</row>
    <row r="63" spans="1:6" x14ac:dyDescent="0.2">
      <c r="A63" s="4" t="s">
        <v>145</v>
      </c>
      <c r="B63" s="4" t="s">
        <v>145</v>
      </c>
    </row>
    <row r="64" spans="1:6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60C0-1192-A04A-BFC5-1A232B767674}">
  <dimension ref="A1:G65"/>
  <sheetViews>
    <sheetView zoomScale="70" zoomScaleNormal="70" workbookViewId="0">
      <selection activeCell="I16" sqref="I16"/>
    </sheetView>
  </sheetViews>
  <sheetFormatPr baseColWidth="10" defaultRowHeight="16" x14ac:dyDescent="0.2"/>
  <cols>
    <col min="1" max="1" width="33.33203125" bestFit="1" customWidth="1"/>
    <col min="2" max="2" width="15.33203125" bestFit="1" customWidth="1"/>
    <col min="3" max="4" width="12.6640625" bestFit="1" customWidth="1"/>
    <col min="5" max="5" width="11.33203125" bestFit="1" customWidth="1"/>
    <col min="6" max="6" width="12.6640625" bestFit="1" customWidth="1"/>
    <col min="7" max="7" width="11.332031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  <c r="C4" s="1" t="s">
        <v>95</v>
      </c>
      <c r="D4" s="1" t="s">
        <v>95</v>
      </c>
      <c r="E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</row>
    <row r="7" spans="1:7" x14ac:dyDescent="0.2">
      <c r="A7" s="1" t="s">
        <v>98</v>
      </c>
      <c r="B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  <c r="C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</row>
    <row r="17" spans="1:6" x14ac:dyDescent="0.2">
      <c r="A17" s="1" t="s">
        <v>106</v>
      </c>
      <c r="B17" s="1" t="s">
        <v>106</v>
      </c>
    </row>
    <row r="18" spans="1:6" x14ac:dyDescent="0.2">
      <c r="A18" s="2" t="s">
        <v>50</v>
      </c>
      <c r="B18" s="2" t="s">
        <v>50</v>
      </c>
    </row>
    <row r="19" spans="1:6" x14ac:dyDescent="0.2">
      <c r="A19" s="2" t="s">
        <v>148</v>
      </c>
    </row>
    <row r="20" spans="1:6" x14ac:dyDescent="0.2">
      <c r="A20" s="2" t="s">
        <v>107</v>
      </c>
    </row>
    <row r="21" spans="1:6" x14ac:dyDescent="0.2">
      <c r="A21" s="2" t="s">
        <v>108</v>
      </c>
      <c r="B21" s="2" t="s">
        <v>108</v>
      </c>
      <c r="C21" s="2" t="s">
        <v>108</v>
      </c>
      <c r="D21" s="2" t="s">
        <v>108</v>
      </c>
    </row>
    <row r="22" spans="1:6" x14ac:dyDescent="0.2">
      <c r="A22" s="2" t="s">
        <v>109</v>
      </c>
    </row>
    <row r="23" spans="1:6" x14ac:dyDescent="0.2">
      <c r="A23" s="2" t="s">
        <v>30</v>
      </c>
      <c r="B23" s="2" t="s">
        <v>30</v>
      </c>
    </row>
    <row r="24" spans="1:6" x14ac:dyDescent="0.2">
      <c r="A24" s="2" t="s">
        <v>110</v>
      </c>
      <c r="B24" s="2" t="s">
        <v>110</v>
      </c>
      <c r="C24" s="2" t="s">
        <v>110</v>
      </c>
    </row>
    <row r="25" spans="1:6" x14ac:dyDescent="0.2">
      <c r="A25" s="2" t="s">
        <v>111</v>
      </c>
    </row>
    <row r="26" spans="1:6" x14ac:dyDescent="0.2">
      <c r="A26" s="2" t="s">
        <v>112</v>
      </c>
      <c r="B26" s="2" t="s">
        <v>112</v>
      </c>
    </row>
    <row r="27" spans="1:6" x14ac:dyDescent="0.2">
      <c r="A27" s="2" t="s">
        <v>72</v>
      </c>
    </row>
    <row r="28" spans="1:6" x14ac:dyDescent="0.2">
      <c r="A28" s="2" t="s">
        <v>113</v>
      </c>
      <c r="B28" s="2" t="s">
        <v>113</v>
      </c>
      <c r="C28" s="2" t="s">
        <v>113</v>
      </c>
    </row>
    <row r="29" spans="1:6" x14ac:dyDescent="0.2">
      <c r="A29" s="2" t="s">
        <v>114</v>
      </c>
    </row>
    <row r="30" spans="1:6" x14ac:dyDescent="0.2">
      <c r="A30" s="2" t="s">
        <v>75</v>
      </c>
    </row>
    <row r="31" spans="1:6" x14ac:dyDescent="0.2">
      <c r="A31" s="2" t="s">
        <v>115</v>
      </c>
      <c r="B31" s="2" t="s">
        <v>115</v>
      </c>
      <c r="C31" s="2" t="s">
        <v>115</v>
      </c>
      <c r="D31" s="2" t="s">
        <v>115</v>
      </c>
      <c r="E31" s="2" t="s">
        <v>115</v>
      </c>
      <c r="F31" s="2" t="s">
        <v>115</v>
      </c>
    </row>
    <row r="32" spans="1:6" x14ac:dyDescent="0.2">
      <c r="A32" s="2" t="s">
        <v>116</v>
      </c>
      <c r="B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</row>
    <row r="37" spans="1:5" x14ac:dyDescent="0.2">
      <c r="A37" s="3" t="s">
        <v>120</v>
      </c>
      <c r="B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  <c r="D40" s="3" t="s">
        <v>123</v>
      </c>
      <c r="E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</row>
    <row r="43" spans="1:5" x14ac:dyDescent="0.2">
      <c r="A43" s="3" t="s">
        <v>125</v>
      </c>
      <c r="B43" s="3" t="s">
        <v>125</v>
      </c>
    </row>
    <row r="44" spans="1:5" x14ac:dyDescent="0.2">
      <c r="A44" s="3" t="s">
        <v>126</v>
      </c>
    </row>
    <row r="45" spans="1:5" x14ac:dyDescent="0.2">
      <c r="A45" s="3" t="s">
        <v>127</v>
      </c>
      <c r="B45" s="3" t="s">
        <v>127</v>
      </c>
      <c r="C45" s="3" t="s">
        <v>127</v>
      </c>
      <c r="D45" s="3" t="s">
        <v>127</v>
      </c>
    </row>
    <row r="46" spans="1:5" x14ac:dyDescent="0.2">
      <c r="A46" s="3" t="s">
        <v>128</v>
      </c>
    </row>
    <row r="47" spans="1:5" x14ac:dyDescent="0.2">
      <c r="A47" s="3" t="s">
        <v>129</v>
      </c>
      <c r="B47" s="3" t="s">
        <v>129</v>
      </c>
      <c r="C47" s="3" t="s">
        <v>129</v>
      </c>
    </row>
    <row r="48" spans="1:5" x14ac:dyDescent="0.2">
      <c r="A48" s="3" t="s">
        <v>130</v>
      </c>
    </row>
    <row r="49" spans="1:7" x14ac:dyDescent="0.2">
      <c r="A49" s="3" t="s">
        <v>131</v>
      </c>
      <c r="B49" s="3" t="s">
        <v>131</v>
      </c>
    </row>
    <row r="50" spans="1:7" x14ac:dyDescent="0.2">
      <c r="A50" s="4" t="s">
        <v>132</v>
      </c>
      <c r="B50" s="4" t="s">
        <v>132</v>
      </c>
    </row>
    <row r="51" spans="1:7" x14ac:dyDescent="0.2">
      <c r="A51" s="4" t="s">
        <v>133</v>
      </c>
    </row>
    <row r="52" spans="1:7" x14ac:dyDescent="0.2">
      <c r="A52" s="4" t="s">
        <v>134</v>
      </c>
      <c r="B52" s="4" t="s">
        <v>134</v>
      </c>
      <c r="C52" s="4" t="s">
        <v>134</v>
      </c>
    </row>
    <row r="53" spans="1:7" x14ac:dyDescent="0.2">
      <c r="A53" s="4" t="s">
        <v>135</v>
      </c>
    </row>
    <row r="54" spans="1:7" x14ac:dyDescent="0.2">
      <c r="A54" s="4" t="s">
        <v>136</v>
      </c>
    </row>
    <row r="55" spans="1:7" x14ac:dyDescent="0.2">
      <c r="A55" s="4" t="s">
        <v>137</v>
      </c>
      <c r="B55" s="4" t="s">
        <v>137</v>
      </c>
    </row>
    <row r="56" spans="1:7" x14ac:dyDescent="0.2">
      <c r="A56" s="4" t="s">
        <v>138</v>
      </c>
      <c r="B56" s="4" t="s">
        <v>138</v>
      </c>
      <c r="C56" s="4" t="s">
        <v>138</v>
      </c>
      <c r="D56" s="4" t="s">
        <v>138</v>
      </c>
      <c r="E56" s="4" t="s">
        <v>138</v>
      </c>
      <c r="F56" s="4" t="s">
        <v>138</v>
      </c>
      <c r="G56" s="4" t="s">
        <v>138</v>
      </c>
    </row>
    <row r="57" spans="1:7" x14ac:dyDescent="0.2">
      <c r="A57" s="4" t="s">
        <v>139</v>
      </c>
    </row>
    <row r="58" spans="1:7" x14ac:dyDescent="0.2">
      <c r="A58" s="4" t="s">
        <v>140</v>
      </c>
      <c r="B58" s="4" t="s">
        <v>140</v>
      </c>
      <c r="C58" s="4" t="s">
        <v>140</v>
      </c>
    </row>
    <row r="59" spans="1:7" x14ac:dyDescent="0.2">
      <c r="A59" s="4" t="s">
        <v>141</v>
      </c>
    </row>
    <row r="60" spans="1:7" x14ac:dyDescent="0.2">
      <c r="A60" s="4" t="s">
        <v>142</v>
      </c>
      <c r="B60" s="4" t="s">
        <v>142</v>
      </c>
    </row>
    <row r="61" spans="1:7" x14ac:dyDescent="0.2">
      <c r="A61" s="4" t="s">
        <v>143</v>
      </c>
    </row>
    <row r="62" spans="1:7" x14ac:dyDescent="0.2">
      <c r="A62" s="4" t="s">
        <v>144</v>
      </c>
      <c r="B62" s="4" t="s">
        <v>144</v>
      </c>
      <c r="C62" s="4" t="s">
        <v>144</v>
      </c>
      <c r="D62" s="4" t="s">
        <v>144</v>
      </c>
    </row>
    <row r="63" spans="1:7" x14ac:dyDescent="0.2">
      <c r="A63" s="4" t="s">
        <v>145</v>
      </c>
    </row>
    <row r="64" spans="1:7" x14ac:dyDescent="0.2">
      <c r="A64" s="4" t="s">
        <v>146</v>
      </c>
      <c r="B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DB99-D584-7A42-B281-22F16BF583A6}">
  <dimension ref="A1:G65"/>
  <sheetViews>
    <sheetView zoomScale="70" zoomScaleNormal="70" workbookViewId="0">
      <selection activeCell="A64" sqref="A64:C64"/>
    </sheetView>
  </sheetViews>
  <sheetFormatPr baseColWidth="10" defaultRowHeight="16" x14ac:dyDescent="0.2"/>
  <cols>
    <col min="1" max="1" width="33.33203125" bestFit="1" customWidth="1"/>
    <col min="2" max="4" width="15.1640625" bestFit="1" customWidth="1"/>
    <col min="5" max="7" width="12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</row>
    <row r="3" spans="1:7" x14ac:dyDescent="0.2">
      <c r="A3" s="1" t="s">
        <v>94</v>
      </c>
      <c r="B3" s="1" t="s">
        <v>94</v>
      </c>
      <c r="C3" s="1" t="s">
        <v>94</v>
      </c>
      <c r="D3" s="1" t="s">
        <v>94</v>
      </c>
      <c r="E3" s="1" t="s">
        <v>94</v>
      </c>
      <c r="F3" s="1" t="s">
        <v>94</v>
      </c>
      <c r="G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</row>
    <row r="7" spans="1:7" x14ac:dyDescent="0.2">
      <c r="A7" s="1" t="s">
        <v>98</v>
      </c>
      <c r="B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</row>
    <row r="11" spans="1:7" x14ac:dyDescent="0.2">
      <c r="A11" s="1" t="s">
        <v>102</v>
      </c>
      <c r="B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  <c r="C15" s="1" t="s">
        <v>105</v>
      </c>
    </row>
    <row r="16" spans="1:7" x14ac:dyDescent="0.2">
      <c r="A16" s="1" t="s">
        <v>149</v>
      </c>
      <c r="B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  <c r="C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  <c r="D24" s="2" t="s">
        <v>110</v>
      </c>
      <c r="E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  <c r="C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</row>
    <row r="33" spans="1:6" x14ac:dyDescent="0.2">
      <c r="A33" s="2" t="s">
        <v>117</v>
      </c>
      <c r="B33" s="2" t="s">
        <v>117</v>
      </c>
      <c r="C33" s="2" t="s">
        <v>117</v>
      </c>
      <c r="D33" s="2" t="s">
        <v>117</v>
      </c>
    </row>
    <row r="34" spans="1:6" x14ac:dyDescent="0.2">
      <c r="A34" s="3" t="s">
        <v>118</v>
      </c>
      <c r="B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</row>
    <row r="37" spans="1:6" x14ac:dyDescent="0.2">
      <c r="A37" s="3" t="s">
        <v>120</v>
      </c>
      <c r="B37" s="3" t="s">
        <v>120</v>
      </c>
      <c r="C37" s="3" t="s">
        <v>120</v>
      </c>
    </row>
    <row r="38" spans="1:6" x14ac:dyDescent="0.2">
      <c r="A38" s="3" t="s">
        <v>121</v>
      </c>
      <c r="B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</row>
    <row r="41" spans="1:6" x14ac:dyDescent="0.2">
      <c r="A41" s="3" t="s">
        <v>124</v>
      </c>
      <c r="B41" s="3" t="s">
        <v>124</v>
      </c>
      <c r="C41" s="3" t="s">
        <v>124</v>
      </c>
      <c r="D41" s="3" t="s">
        <v>124</v>
      </c>
      <c r="E41" s="3" t="s">
        <v>124</v>
      </c>
      <c r="F41" s="3" t="s">
        <v>124</v>
      </c>
    </row>
    <row r="42" spans="1:6" x14ac:dyDescent="0.2">
      <c r="A42" s="3" t="s">
        <v>28</v>
      </c>
    </row>
    <row r="43" spans="1:6" x14ac:dyDescent="0.2">
      <c r="A43" s="3" t="s">
        <v>125</v>
      </c>
      <c r="B43" s="3" t="s">
        <v>125</v>
      </c>
      <c r="C43" s="3" t="s">
        <v>125</v>
      </c>
      <c r="D43" s="3" t="s">
        <v>125</v>
      </c>
    </row>
    <row r="44" spans="1:6" x14ac:dyDescent="0.2">
      <c r="A44" s="3" t="s">
        <v>126</v>
      </c>
    </row>
    <row r="45" spans="1:6" x14ac:dyDescent="0.2">
      <c r="A45" s="3" t="s">
        <v>127</v>
      </c>
      <c r="B45" s="3" t="s">
        <v>127</v>
      </c>
    </row>
    <row r="46" spans="1:6" x14ac:dyDescent="0.2">
      <c r="A46" s="3" t="s">
        <v>128</v>
      </c>
      <c r="B46" s="3" t="s">
        <v>128</v>
      </c>
      <c r="C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  <c r="C52" s="4" t="s">
        <v>134</v>
      </c>
      <c r="D52" s="4" t="s">
        <v>134</v>
      </c>
      <c r="E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  <c r="C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</row>
    <row r="59" spans="1:5" x14ac:dyDescent="0.2">
      <c r="A59" s="4" t="s">
        <v>141</v>
      </c>
      <c r="B59" s="4" t="s">
        <v>141</v>
      </c>
      <c r="C59" s="4" t="s">
        <v>141</v>
      </c>
      <c r="D59" s="4" t="s">
        <v>141</v>
      </c>
    </row>
    <row r="60" spans="1:5" x14ac:dyDescent="0.2">
      <c r="A60" s="4" t="s">
        <v>142</v>
      </c>
      <c r="B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C30C-FCEB-664A-8EBC-D1FA6DB2F463}">
  <dimension ref="A1:G65"/>
  <sheetViews>
    <sheetView zoomScale="70" zoomScaleNormal="70" workbookViewId="0">
      <selection activeCell="A64" sqref="A64:E64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</row>
    <row r="5" spans="1:7" x14ac:dyDescent="0.2">
      <c r="A5" s="1" t="s">
        <v>96</v>
      </c>
      <c r="B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</row>
    <row r="11" spans="1:7" x14ac:dyDescent="0.2">
      <c r="A11" s="1" t="s">
        <v>102</v>
      </c>
      <c r="B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  <c r="C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</row>
    <row r="17" spans="1:7" x14ac:dyDescent="0.2">
      <c r="A17" s="1" t="s">
        <v>106</v>
      </c>
    </row>
    <row r="18" spans="1:7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7" x14ac:dyDescent="0.2">
      <c r="A19" s="2" t="s">
        <v>148</v>
      </c>
    </row>
    <row r="20" spans="1:7" x14ac:dyDescent="0.2">
      <c r="A20" s="2" t="s">
        <v>107</v>
      </c>
    </row>
    <row r="21" spans="1:7" x14ac:dyDescent="0.2">
      <c r="A21" s="2" t="s">
        <v>108</v>
      </c>
      <c r="B21" s="2" t="s">
        <v>108</v>
      </c>
    </row>
    <row r="22" spans="1:7" x14ac:dyDescent="0.2">
      <c r="A22" s="2" t="s">
        <v>109</v>
      </c>
      <c r="B22" s="2" t="s">
        <v>109</v>
      </c>
      <c r="C22" s="2" t="s">
        <v>109</v>
      </c>
    </row>
    <row r="23" spans="1:7" x14ac:dyDescent="0.2">
      <c r="A23" s="2" t="s">
        <v>30</v>
      </c>
    </row>
    <row r="24" spans="1:7" x14ac:dyDescent="0.2">
      <c r="A24" s="2" t="s">
        <v>110</v>
      </c>
      <c r="B24" s="2" t="s">
        <v>110</v>
      </c>
    </row>
    <row r="25" spans="1:7" x14ac:dyDescent="0.2">
      <c r="A25" s="2" t="s">
        <v>111</v>
      </c>
    </row>
    <row r="26" spans="1:7" x14ac:dyDescent="0.2">
      <c r="A26" s="2" t="s">
        <v>112</v>
      </c>
    </row>
    <row r="27" spans="1:7" x14ac:dyDescent="0.2">
      <c r="A27" s="2" t="s">
        <v>72</v>
      </c>
      <c r="B27" s="2" t="s">
        <v>72</v>
      </c>
    </row>
    <row r="28" spans="1:7" x14ac:dyDescent="0.2">
      <c r="A28" s="2" t="s">
        <v>113</v>
      </c>
      <c r="B28" s="2" t="s">
        <v>113</v>
      </c>
      <c r="C28" s="2" t="s">
        <v>113</v>
      </c>
    </row>
    <row r="29" spans="1:7" x14ac:dyDescent="0.2">
      <c r="A29" s="2" t="s">
        <v>114</v>
      </c>
    </row>
    <row r="30" spans="1:7" x14ac:dyDescent="0.2">
      <c r="A30" s="2" t="s">
        <v>75</v>
      </c>
    </row>
    <row r="31" spans="1:7" x14ac:dyDescent="0.2">
      <c r="A31" s="2" t="s">
        <v>115</v>
      </c>
      <c r="B31" s="2" t="s">
        <v>115</v>
      </c>
    </row>
    <row r="32" spans="1:7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  <c r="F32" s="2" t="s">
        <v>116</v>
      </c>
      <c r="G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</row>
    <row r="37" spans="1:6" x14ac:dyDescent="0.2">
      <c r="A37" s="3" t="s">
        <v>120</v>
      </c>
      <c r="B37" s="3" t="s">
        <v>120</v>
      </c>
      <c r="C37" s="3" t="s">
        <v>120</v>
      </c>
    </row>
    <row r="38" spans="1:6" x14ac:dyDescent="0.2">
      <c r="A38" s="3" t="s">
        <v>121</v>
      </c>
      <c r="B38" s="3" t="s">
        <v>121</v>
      </c>
      <c r="C38" s="3" t="s">
        <v>121</v>
      </c>
      <c r="D38" s="3" t="s">
        <v>121</v>
      </c>
      <c r="E38" s="3" t="s">
        <v>121</v>
      </c>
      <c r="F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  <c r="B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  <c r="C42" s="3" t="s">
        <v>28</v>
      </c>
      <c r="D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  <c r="C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</row>
    <row r="53" spans="1:5" x14ac:dyDescent="0.2">
      <c r="A53" s="4" t="s">
        <v>135</v>
      </c>
      <c r="B53" s="4" t="s">
        <v>135</v>
      </c>
    </row>
    <row r="54" spans="1:5" x14ac:dyDescent="0.2">
      <c r="A54" s="4" t="s">
        <v>136</v>
      </c>
      <c r="B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  <c r="C56" s="4" t="s">
        <v>138</v>
      </c>
      <c r="D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  <c r="C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</row>
    <row r="63" spans="1:5" x14ac:dyDescent="0.2">
      <c r="A63" s="4" t="s">
        <v>145</v>
      </c>
      <c r="B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  <c r="D64" s="4" t="s">
        <v>146</v>
      </c>
      <c r="E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7A52-9AB0-FC46-8797-4EBC0E57DFA2}">
  <dimension ref="A1:G65"/>
  <sheetViews>
    <sheetView zoomScale="70" zoomScaleNormal="70" workbookViewId="0">
      <selection activeCell="A62" sqref="A62:B62"/>
    </sheetView>
  </sheetViews>
  <sheetFormatPr baseColWidth="10" defaultRowHeight="16" x14ac:dyDescent="0.2"/>
  <cols>
    <col min="1" max="1" width="33.33203125" bestFit="1" customWidth="1"/>
    <col min="2" max="2" width="21.83203125" bestFit="1" customWidth="1"/>
    <col min="3" max="4" width="15.33203125" bestFit="1" customWidth="1"/>
    <col min="5" max="5" width="13.33203125" bestFit="1" customWidth="1"/>
    <col min="6" max="7" width="12.6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  <c r="G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  <c r="B20" s="2" t="s">
        <v>107</v>
      </c>
    </row>
    <row r="21" spans="1:5" x14ac:dyDescent="0.2">
      <c r="A21" s="2" t="s">
        <v>108</v>
      </c>
    </row>
    <row r="22" spans="1:5" x14ac:dyDescent="0.2">
      <c r="A22" s="2" t="s">
        <v>109</v>
      </c>
      <c r="B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  <c r="C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  <c r="B26" s="2" t="s">
        <v>112</v>
      </c>
    </row>
    <row r="27" spans="1:5" x14ac:dyDescent="0.2">
      <c r="A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</row>
    <row r="33" spans="1:6" x14ac:dyDescent="0.2">
      <c r="A33" s="2" t="s">
        <v>117</v>
      </c>
    </row>
    <row r="34" spans="1:6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  <c r="F34" s="3" t="s">
        <v>118</v>
      </c>
    </row>
    <row r="35" spans="1:6" x14ac:dyDescent="0.2">
      <c r="A35" s="3" t="s">
        <v>150</v>
      </c>
    </row>
    <row r="36" spans="1:6" x14ac:dyDescent="0.2">
      <c r="A36" s="3" t="s">
        <v>119</v>
      </c>
      <c r="B36" s="3" t="s">
        <v>119</v>
      </c>
    </row>
    <row r="37" spans="1:6" x14ac:dyDescent="0.2">
      <c r="A37" s="3" t="s">
        <v>120</v>
      </c>
    </row>
    <row r="38" spans="1:6" x14ac:dyDescent="0.2">
      <c r="A38" s="3" t="s">
        <v>121</v>
      </c>
      <c r="B38" s="3" t="s">
        <v>121</v>
      </c>
    </row>
    <row r="39" spans="1:6" x14ac:dyDescent="0.2">
      <c r="A39" s="3" t="s">
        <v>122</v>
      </c>
    </row>
    <row r="40" spans="1:6" x14ac:dyDescent="0.2">
      <c r="A40" s="3" t="s">
        <v>123</v>
      </c>
      <c r="B40" s="3" t="s">
        <v>123</v>
      </c>
      <c r="C40" s="3" t="s">
        <v>123</v>
      </c>
    </row>
    <row r="41" spans="1:6" x14ac:dyDescent="0.2">
      <c r="A41" s="3" t="s">
        <v>124</v>
      </c>
    </row>
    <row r="42" spans="1:6" x14ac:dyDescent="0.2">
      <c r="A42" s="3" t="s">
        <v>28</v>
      </c>
      <c r="B42" s="3" t="s">
        <v>28</v>
      </c>
    </row>
    <row r="43" spans="1:6" x14ac:dyDescent="0.2">
      <c r="A43" s="3" t="s">
        <v>125</v>
      </c>
    </row>
    <row r="44" spans="1:6" x14ac:dyDescent="0.2">
      <c r="A44" s="3" t="s">
        <v>126</v>
      </c>
      <c r="B44" s="3" t="s">
        <v>126</v>
      </c>
      <c r="C44" s="3" t="s">
        <v>126</v>
      </c>
    </row>
    <row r="45" spans="1:6" x14ac:dyDescent="0.2">
      <c r="A45" s="3" t="s">
        <v>127</v>
      </c>
    </row>
    <row r="46" spans="1:6" x14ac:dyDescent="0.2">
      <c r="A46" s="3" t="s">
        <v>128</v>
      </c>
      <c r="B46" s="3" t="s">
        <v>128</v>
      </c>
    </row>
    <row r="47" spans="1:6" x14ac:dyDescent="0.2">
      <c r="A47" s="3" t="s">
        <v>129</v>
      </c>
    </row>
    <row r="48" spans="1:6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5" x14ac:dyDescent="0.2">
      <c r="A49" s="3" t="s">
        <v>131</v>
      </c>
    </row>
    <row r="50" spans="1:5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</row>
    <row r="51" spans="1:5" x14ac:dyDescent="0.2">
      <c r="A51" s="4" t="s">
        <v>133</v>
      </c>
    </row>
    <row r="52" spans="1:5" x14ac:dyDescent="0.2">
      <c r="A52" s="4" t="s">
        <v>134</v>
      </c>
      <c r="B52" s="4" t="s">
        <v>134</v>
      </c>
    </row>
    <row r="53" spans="1:5" x14ac:dyDescent="0.2">
      <c r="A53" s="4" t="s">
        <v>135</v>
      </c>
    </row>
    <row r="54" spans="1:5" x14ac:dyDescent="0.2">
      <c r="A54" s="4" t="s">
        <v>136</v>
      </c>
      <c r="B54" s="4" t="s">
        <v>136</v>
      </c>
    </row>
    <row r="55" spans="1:5" x14ac:dyDescent="0.2">
      <c r="A55" s="4" t="s">
        <v>137</v>
      </c>
    </row>
    <row r="56" spans="1:5" x14ac:dyDescent="0.2">
      <c r="A56" s="4" t="s">
        <v>138</v>
      </c>
      <c r="B56" s="4" t="s">
        <v>138</v>
      </c>
      <c r="C56" s="4" t="s">
        <v>138</v>
      </c>
    </row>
    <row r="57" spans="1:5" x14ac:dyDescent="0.2">
      <c r="A57" s="4" t="s">
        <v>139</v>
      </c>
    </row>
    <row r="58" spans="1:5" x14ac:dyDescent="0.2">
      <c r="A58" s="4" t="s">
        <v>140</v>
      </c>
      <c r="B58" s="4" t="s">
        <v>140</v>
      </c>
    </row>
    <row r="59" spans="1:5" x14ac:dyDescent="0.2">
      <c r="A59" s="4" t="s">
        <v>141</v>
      </c>
    </row>
    <row r="60" spans="1:5" x14ac:dyDescent="0.2">
      <c r="A60" s="4" t="s">
        <v>142</v>
      </c>
      <c r="B60" s="4" t="s">
        <v>142</v>
      </c>
      <c r="C60" s="4" t="s">
        <v>142</v>
      </c>
    </row>
    <row r="61" spans="1:5" x14ac:dyDescent="0.2">
      <c r="A61" s="4" t="s">
        <v>143</v>
      </c>
    </row>
    <row r="62" spans="1:5" x14ac:dyDescent="0.2">
      <c r="A62" s="4" t="s">
        <v>144</v>
      </c>
      <c r="B62" s="4" t="s">
        <v>144</v>
      </c>
    </row>
    <row r="63" spans="1:5" x14ac:dyDescent="0.2">
      <c r="A63" s="4" t="s">
        <v>145</v>
      </c>
    </row>
    <row r="64" spans="1:5" x14ac:dyDescent="0.2">
      <c r="A64" s="4" t="s">
        <v>146</v>
      </c>
      <c r="B64" s="4" t="s">
        <v>146</v>
      </c>
      <c r="C64" s="4" t="s">
        <v>146</v>
      </c>
      <c r="D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72E8-E879-0A45-9CE0-6B8CC1210962}">
  <dimension ref="A1:G65"/>
  <sheetViews>
    <sheetView zoomScale="70" zoomScaleNormal="70" workbookViewId="0">
      <selection activeCell="A64" sqref="A64:C64"/>
    </sheetView>
  </sheetViews>
  <sheetFormatPr baseColWidth="10" defaultRowHeight="16" x14ac:dyDescent="0.2"/>
  <cols>
    <col min="1" max="1" width="17.33203125" customWidth="1"/>
    <col min="2" max="2" width="18.5" customWidth="1"/>
    <col min="3" max="3" width="21.83203125" customWidth="1"/>
    <col min="4" max="4" width="16.5" customWidth="1"/>
    <col min="5" max="5" width="15.1640625" customWidth="1"/>
    <col min="6" max="6" width="18.6640625" customWidth="1"/>
    <col min="7" max="7" width="16.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</row>
    <row r="11" spans="1:7" x14ac:dyDescent="0.2">
      <c r="A11" s="1" t="s">
        <v>102</v>
      </c>
      <c r="B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</row>
    <row r="15" spans="1:7" x14ac:dyDescent="0.2">
      <c r="A15" s="1" t="s">
        <v>105</v>
      </c>
      <c r="B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  <c r="D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</row>
    <row r="27" spans="1:5" x14ac:dyDescent="0.2">
      <c r="A27" s="2" t="s">
        <v>72</v>
      </c>
      <c r="B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  <c r="D32" s="2" t="s">
        <v>116</v>
      </c>
      <c r="E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</row>
    <row r="37" spans="1:5" x14ac:dyDescent="0.2">
      <c r="A37" s="3" t="s">
        <v>120</v>
      </c>
      <c r="B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  <c r="D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</row>
    <row r="49" spans="1:7" x14ac:dyDescent="0.2">
      <c r="A49" s="3" t="s">
        <v>131</v>
      </c>
    </row>
    <row r="50" spans="1:7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  <c r="G50" s="4" t="s">
        <v>132</v>
      </c>
    </row>
    <row r="51" spans="1:7" x14ac:dyDescent="0.2">
      <c r="A51" s="4" t="s">
        <v>133</v>
      </c>
    </row>
    <row r="52" spans="1:7" x14ac:dyDescent="0.2">
      <c r="A52" s="4" t="s">
        <v>134</v>
      </c>
    </row>
    <row r="53" spans="1:7" x14ac:dyDescent="0.2">
      <c r="A53" s="4" t="s">
        <v>135</v>
      </c>
      <c r="B53" s="4" t="s">
        <v>135</v>
      </c>
    </row>
    <row r="54" spans="1:7" x14ac:dyDescent="0.2">
      <c r="A54" s="4" t="s">
        <v>136</v>
      </c>
      <c r="B54" s="4" t="s">
        <v>136</v>
      </c>
    </row>
    <row r="55" spans="1:7" x14ac:dyDescent="0.2">
      <c r="A55" s="4" t="s">
        <v>137</v>
      </c>
    </row>
    <row r="56" spans="1:7" x14ac:dyDescent="0.2">
      <c r="A56" s="4" t="s">
        <v>138</v>
      </c>
      <c r="B56" s="4" t="s">
        <v>138</v>
      </c>
      <c r="C56" s="4" t="s">
        <v>138</v>
      </c>
    </row>
    <row r="57" spans="1:7" x14ac:dyDescent="0.2">
      <c r="A57" s="4" t="s">
        <v>139</v>
      </c>
    </row>
    <row r="58" spans="1:7" x14ac:dyDescent="0.2">
      <c r="A58" s="4" t="s">
        <v>140</v>
      </c>
    </row>
    <row r="59" spans="1:7" x14ac:dyDescent="0.2">
      <c r="A59" s="4" t="s">
        <v>141</v>
      </c>
      <c r="B59" s="4" t="s">
        <v>141</v>
      </c>
    </row>
    <row r="60" spans="1:7" x14ac:dyDescent="0.2">
      <c r="A60" s="4" t="s">
        <v>142</v>
      </c>
      <c r="B60" s="4" t="s">
        <v>142</v>
      </c>
      <c r="C60" s="4" t="s">
        <v>142</v>
      </c>
      <c r="D60" s="4" t="s">
        <v>142</v>
      </c>
    </row>
    <row r="61" spans="1:7" x14ac:dyDescent="0.2">
      <c r="A61" s="4" t="s">
        <v>143</v>
      </c>
    </row>
    <row r="62" spans="1:7" x14ac:dyDescent="0.2">
      <c r="A62" s="4" t="s">
        <v>144</v>
      </c>
      <c r="B62" s="4" t="s">
        <v>144</v>
      </c>
    </row>
    <row r="63" spans="1:7" x14ac:dyDescent="0.2">
      <c r="A63" s="4" t="s">
        <v>145</v>
      </c>
    </row>
    <row r="64" spans="1:7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58FB-65F9-4B4D-AA79-03C92CC0AE78}">
  <dimension ref="A1:G65"/>
  <sheetViews>
    <sheetView zoomScale="70" zoomScaleNormal="70" workbookViewId="0">
      <selection sqref="A1:A1048576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  <c r="D2" s="1" t="s">
        <v>65</v>
      </c>
      <c r="E2" s="1" t="s">
        <v>65</v>
      </c>
      <c r="F2" s="1" t="s">
        <v>65</v>
      </c>
      <c r="G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  <c r="C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</row>
    <row r="11" spans="1:7" x14ac:dyDescent="0.2">
      <c r="A11" s="1" t="s">
        <v>102</v>
      </c>
      <c r="B11" s="1" t="s">
        <v>102</v>
      </c>
    </row>
    <row r="12" spans="1:7" x14ac:dyDescent="0.2">
      <c r="A12" s="1" t="s">
        <v>103</v>
      </c>
      <c r="B12" s="1" t="s">
        <v>103</v>
      </c>
      <c r="C12" s="1" t="s">
        <v>103</v>
      </c>
      <c r="D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  <c r="C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</row>
    <row r="17" spans="1:5" x14ac:dyDescent="0.2">
      <c r="A17" s="1" t="s">
        <v>106</v>
      </c>
    </row>
    <row r="18" spans="1:5" x14ac:dyDescent="0.2">
      <c r="A18" s="2" t="s">
        <v>50</v>
      </c>
      <c r="B18" s="2" t="s">
        <v>50</v>
      </c>
      <c r="C18" s="2" t="s">
        <v>50</v>
      </c>
      <c r="D18" s="2" t="s">
        <v>50</v>
      </c>
    </row>
    <row r="19" spans="1:5" x14ac:dyDescent="0.2">
      <c r="A19" s="2" t="s">
        <v>148</v>
      </c>
    </row>
    <row r="20" spans="1:5" x14ac:dyDescent="0.2">
      <c r="A20" s="2" t="s">
        <v>107</v>
      </c>
    </row>
    <row r="21" spans="1:5" x14ac:dyDescent="0.2">
      <c r="A21" s="2" t="s">
        <v>108</v>
      </c>
      <c r="B21" s="2" t="s">
        <v>108</v>
      </c>
    </row>
    <row r="22" spans="1:5" x14ac:dyDescent="0.2">
      <c r="A22" s="2" t="s">
        <v>109</v>
      </c>
      <c r="B22" s="2" t="s">
        <v>109</v>
      </c>
      <c r="C22" s="2" t="s">
        <v>109</v>
      </c>
    </row>
    <row r="23" spans="1:5" x14ac:dyDescent="0.2">
      <c r="A23" s="2" t="s">
        <v>30</v>
      </c>
    </row>
    <row r="24" spans="1:5" x14ac:dyDescent="0.2">
      <c r="A24" s="2" t="s">
        <v>110</v>
      </c>
      <c r="B24" s="2" t="s">
        <v>110</v>
      </c>
    </row>
    <row r="25" spans="1:5" x14ac:dyDescent="0.2">
      <c r="A25" s="2" t="s">
        <v>111</v>
      </c>
    </row>
    <row r="26" spans="1:5" x14ac:dyDescent="0.2">
      <c r="A26" s="2" t="s">
        <v>112</v>
      </c>
    </row>
    <row r="27" spans="1:5" x14ac:dyDescent="0.2">
      <c r="A27" s="2" t="s">
        <v>72</v>
      </c>
      <c r="B27" s="2" t="s">
        <v>72</v>
      </c>
    </row>
    <row r="28" spans="1:5" x14ac:dyDescent="0.2">
      <c r="A28" s="2" t="s">
        <v>113</v>
      </c>
      <c r="B28" s="2" t="s">
        <v>113</v>
      </c>
      <c r="C28" s="2" t="s">
        <v>113</v>
      </c>
      <c r="D28" s="2" t="s">
        <v>113</v>
      </c>
      <c r="E28" s="2" t="s">
        <v>113</v>
      </c>
    </row>
    <row r="29" spans="1:5" x14ac:dyDescent="0.2">
      <c r="A29" s="2" t="s">
        <v>114</v>
      </c>
    </row>
    <row r="30" spans="1:5" x14ac:dyDescent="0.2">
      <c r="A30" s="2" t="s">
        <v>75</v>
      </c>
      <c r="B30" s="2" t="s">
        <v>75</v>
      </c>
    </row>
    <row r="31" spans="1:5" x14ac:dyDescent="0.2">
      <c r="A31" s="2" t="s">
        <v>115</v>
      </c>
    </row>
    <row r="32" spans="1:5" x14ac:dyDescent="0.2">
      <c r="A32" s="2" t="s">
        <v>116</v>
      </c>
      <c r="B32" s="2" t="s">
        <v>116</v>
      </c>
      <c r="C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  <c r="D34" s="3" t="s">
        <v>118</v>
      </c>
      <c r="E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  <c r="C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  <c r="C48" s="3" t="s">
        <v>130</v>
      </c>
      <c r="D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  <c r="C50" s="4" t="s">
        <v>132</v>
      </c>
      <c r="D50" s="4" t="s">
        <v>132</v>
      </c>
      <c r="E50" s="4" t="s">
        <v>132</v>
      </c>
      <c r="F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</row>
    <row r="53" spans="1:6" x14ac:dyDescent="0.2">
      <c r="A53" s="4" t="s">
        <v>135</v>
      </c>
      <c r="B53" s="4" t="s">
        <v>135</v>
      </c>
    </row>
    <row r="54" spans="1:6" x14ac:dyDescent="0.2">
      <c r="A54" s="4" t="s">
        <v>136</v>
      </c>
      <c r="B54" s="4" t="s">
        <v>136</v>
      </c>
      <c r="C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</row>
    <row r="57" spans="1:6" x14ac:dyDescent="0.2">
      <c r="A57" s="4" t="s">
        <v>139</v>
      </c>
      <c r="B57" s="4" t="s">
        <v>139</v>
      </c>
    </row>
    <row r="58" spans="1:6" x14ac:dyDescent="0.2">
      <c r="A58" s="4" t="s">
        <v>140</v>
      </c>
      <c r="B58" s="4" t="s">
        <v>140</v>
      </c>
    </row>
    <row r="59" spans="1:6" x14ac:dyDescent="0.2">
      <c r="A59" s="4" t="s">
        <v>141</v>
      </c>
    </row>
    <row r="60" spans="1:6" x14ac:dyDescent="0.2">
      <c r="A60" s="4" t="s">
        <v>142</v>
      </c>
      <c r="B60" s="4" t="s">
        <v>142</v>
      </c>
      <c r="C60" s="4" t="s">
        <v>142</v>
      </c>
      <c r="D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  <c r="B62" s="4" t="s">
        <v>144</v>
      </c>
    </row>
    <row r="63" spans="1:6" x14ac:dyDescent="0.2">
      <c r="A63" s="4" t="s">
        <v>145</v>
      </c>
    </row>
    <row r="64" spans="1:6" x14ac:dyDescent="0.2">
      <c r="A64" s="4" t="s">
        <v>146</v>
      </c>
      <c r="B64" s="4" t="s">
        <v>146</v>
      </c>
      <c r="C64" s="4" t="s">
        <v>146</v>
      </c>
    </row>
    <row r="65" spans="1:1" x14ac:dyDescent="0.2">
      <c r="A65" s="4" t="s">
        <v>147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71A7-D093-F948-BE94-381A3C80ADAD}">
  <dimension ref="A1:G65"/>
  <sheetViews>
    <sheetView zoomScale="70" zoomScaleNormal="70" workbookViewId="0">
      <selection activeCell="A64" sqref="A64:B64"/>
    </sheetView>
  </sheetViews>
  <sheetFormatPr baseColWidth="10" defaultRowHeight="16" x14ac:dyDescent="0.2"/>
  <cols>
    <col min="1" max="1" width="33.33203125" bestFit="1" customWidth="1"/>
    <col min="2" max="7" width="30.8320312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65</v>
      </c>
      <c r="B2" s="1" t="s">
        <v>65</v>
      </c>
      <c r="C2" s="1" t="s">
        <v>65</v>
      </c>
    </row>
    <row r="3" spans="1:7" x14ac:dyDescent="0.2">
      <c r="A3" s="1" t="s">
        <v>94</v>
      </c>
    </row>
    <row r="4" spans="1:7" x14ac:dyDescent="0.2">
      <c r="A4" s="1" t="s">
        <v>95</v>
      </c>
      <c r="B4" s="1" t="s">
        <v>95</v>
      </c>
    </row>
    <row r="5" spans="1:7" x14ac:dyDescent="0.2">
      <c r="A5" s="1" t="s">
        <v>96</v>
      </c>
    </row>
    <row r="6" spans="1:7" x14ac:dyDescent="0.2">
      <c r="A6" s="1" t="s">
        <v>97</v>
      </c>
      <c r="B6" s="1" t="s">
        <v>97</v>
      </c>
    </row>
    <row r="7" spans="1:7" x14ac:dyDescent="0.2">
      <c r="A7" s="1" t="s">
        <v>98</v>
      </c>
    </row>
    <row r="8" spans="1:7" x14ac:dyDescent="0.2">
      <c r="A8" s="1" t="s">
        <v>99</v>
      </c>
      <c r="B8" s="1" t="s">
        <v>99</v>
      </c>
      <c r="C8" s="1" t="s">
        <v>99</v>
      </c>
      <c r="D8" s="1" t="s">
        <v>99</v>
      </c>
    </row>
    <row r="9" spans="1:7" x14ac:dyDescent="0.2">
      <c r="A9" s="1" t="s">
        <v>100</v>
      </c>
    </row>
    <row r="10" spans="1:7" x14ac:dyDescent="0.2">
      <c r="A10" s="1" t="s">
        <v>101</v>
      </c>
      <c r="B10" s="1" t="s">
        <v>101</v>
      </c>
      <c r="C10" s="1" t="s">
        <v>101</v>
      </c>
      <c r="D10" s="1" t="s">
        <v>101</v>
      </c>
      <c r="E10" s="1" t="s">
        <v>101</v>
      </c>
    </row>
    <row r="11" spans="1:7" x14ac:dyDescent="0.2">
      <c r="A11" s="1" t="s">
        <v>102</v>
      </c>
    </row>
    <row r="12" spans="1:7" x14ac:dyDescent="0.2">
      <c r="A12" s="1" t="s">
        <v>103</v>
      </c>
      <c r="B12" s="1" t="s">
        <v>103</v>
      </c>
    </row>
    <row r="13" spans="1:7" x14ac:dyDescent="0.2">
      <c r="A13" s="1" t="s">
        <v>104</v>
      </c>
    </row>
    <row r="14" spans="1:7" x14ac:dyDescent="0.2">
      <c r="A14" s="1" t="s">
        <v>89</v>
      </c>
      <c r="B14" s="1" t="s">
        <v>89</v>
      </c>
    </row>
    <row r="15" spans="1:7" x14ac:dyDescent="0.2">
      <c r="A15" s="1" t="s">
        <v>105</v>
      </c>
    </row>
    <row r="16" spans="1:7" x14ac:dyDescent="0.2">
      <c r="A16" s="1" t="s">
        <v>149</v>
      </c>
      <c r="B16" s="1" t="s">
        <v>149</v>
      </c>
      <c r="C16" s="1" t="s">
        <v>149</v>
      </c>
    </row>
    <row r="17" spans="1:7" x14ac:dyDescent="0.2">
      <c r="A17" s="1" t="s">
        <v>106</v>
      </c>
    </row>
    <row r="18" spans="1:7" x14ac:dyDescent="0.2">
      <c r="A18" s="2" t="s">
        <v>50</v>
      </c>
      <c r="B18" s="2" t="s">
        <v>50</v>
      </c>
      <c r="C18" s="2" t="s">
        <v>50</v>
      </c>
    </row>
    <row r="19" spans="1:7" x14ac:dyDescent="0.2">
      <c r="A19" s="2" t="s">
        <v>148</v>
      </c>
    </row>
    <row r="20" spans="1:7" x14ac:dyDescent="0.2">
      <c r="A20" s="2" t="s">
        <v>107</v>
      </c>
      <c r="B20" s="2" t="s">
        <v>107</v>
      </c>
    </row>
    <row r="21" spans="1:7" x14ac:dyDescent="0.2">
      <c r="A21" s="2" t="s">
        <v>108</v>
      </c>
    </row>
    <row r="22" spans="1:7" x14ac:dyDescent="0.2">
      <c r="A22" s="2" t="s">
        <v>109</v>
      </c>
      <c r="B22" s="2" t="s">
        <v>109</v>
      </c>
      <c r="C22" s="2" t="s">
        <v>109</v>
      </c>
      <c r="D22" s="2" t="s">
        <v>109</v>
      </c>
      <c r="E22" s="2" t="s">
        <v>109</v>
      </c>
      <c r="F22" s="2" t="s">
        <v>109</v>
      </c>
      <c r="G22" s="2" t="s">
        <v>109</v>
      </c>
    </row>
    <row r="23" spans="1:7" x14ac:dyDescent="0.2">
      <c r="A23" s="2" t="s">
        <v>30</v>
      </c>
    </row>
    <row r="24" spans="1:7" x14ac:dyDescent="0.2">
      <c r="A24" s="2" t="s">
        <v>110</v>
      </c>
      <c r="B24" s="2" t="s">
        <v>110</v>
      </c>
    </row>
    <row r="25" spans="1:7" x14ac:dyDescent="0.2">
      <c r="A25" s="2" t="s">
        <v>111</v>
      </c>
    </row>
    <row r="26" spans="1:7" x14ac:dyDescent="0.2">
      <c r="A26" s="2" t="s">
        <v>112</v>
      </c>
      <c r="B26" s="2" t="s">
        <v>112</v>
      </c>
      <c r="C26" s="2" t="s">
        <v>112</v>
      </c>
      <c r="D26" s="2" t="s">
        <v>112</v>
      </c>
    </row>
    <row r="27" spans="1:7" x14ac:dyDescent="0.2">
      <c r="A27" s="2" t="s">
        <v>72</v>
      </c>
    </row>
    <row r="28" spans="1:7" x14ac:dyDescent="0.2">
      <c r="A28" s="2" t="s">
        <v>113</v>
      </c>
      <c r="B28" s="2" t="s">
        <v>113</v>
      </c>
    </row>
    <row r="29" spans="1:7" x14ac:dyDescent="0.2">
      <c r="A29" s="2" t="s">
        <v>114</v>
      </c>
    </row>
    <row r="30" spans="1:7" x14ac:dyDescent="0.2">
      <c r="A30" s="2" t="s">
        <v>75</v>
      </c>
      <c r="B30" s="2" t="s">
        <v>75</v>
      </c>
    </row>
    <row r="31" spans="1:7" x14ac:dyDescent="0.2">
      <c r="A31" s="2" t="s">
        <v>115</v>
      </c>
    </row>
    <row r="32" spans="1:7" x14ac:dyDescent="0.2">
      <c r="A32" s="2" t="s">
        <v>116</v>
      </c>
      <c r="B32" s="2" t="s">
        <v>116</v>
      </c>
      <c r="C32" s="2" t="s">
        <v>116</v>
      </c>
    </row>
    <row r="33" spans="1:5" x14ac:dyDescent="0.2">
      <c r="A33" s="2" t="s">
        <v>117</v>
      </c>
    </row>
    <row r="34" spans="1:5" x14ac:dyDescent="0.2">
      <c r="A34" s="3" t="s">
        <v>118</v>
      </c>
      <c r="B34" s="3" t="s">
        <v>118</v>
      </c>
      <c r="C34" s="3" t="s">
        <v>118</v>
      </c>
    </row>
    <row r="35" spans="1:5" x14ac:dyDescent="0.2">
      <c r="A35" s="3" t="s">
        <v>150</v>
      </c>
    </row>
    <row r="36" spans="1:5" x14ac:dyDescent="0.2">
      <c r="A36" s="3" t="s">
        <v>119</v>
      </c>
      <c r="B36" s="3" t="s">
        <v>119</v>
      </c>
    </row>
    <row r="37" spans="1:5" x14ac:dyDescent="0.2">
      <c r="A37" s="3" t="s">
        <v>120</v>
      </c>
    </row>
    <row r="38" spans="1:5" x14ac:dyDescent="0.2">
      <c r="A38" s="3" t="s">
        <v>121</v>
      </c>
      <c r="B38" s="3" t="s">
        <v>121</v>
      </c>
    </row>
    <row r="39" spans="1:5" x14ac:dyDescent="0.2">
      <c r="A39" s="3" t="s">
        <v>122</v>
      </c>
    </row>
    <row r="40" spans="1:5" x14ac:dyDescent="0.2">
      <c r="A40" s="3" t="s">
        <v>123</v>
      </c>
      <c r="B40" s="3" t="s">
        <v>123</v>
      </c>
      <c r="C40" s="3" t="s">
        <v>123</v>
      </c>
      <c r="D40" s="3" t="s">
        <v>123</v>
      </c>
      <c r="E40" s="3" t="s">
        <v>123</v>
      </c>
    </row>
    <row r="41" spans="1:5" x14ac:dyDescent="0.2">
      <c r="A41" s="3" t="s">
        <v>124</v>
      </c>
    </row>
    <row r="42" spans="1:5" x14ac:dyDescent="0.2">
      <c r="A42" s="3" t="s">
        <v>28</v>
      </c>
      <c r="B42" s="3" t="s">
        <v>28</v>
      </c>
    </row>
    <row r="43" spans="1:5" x14ac:dyDescent="0.2">
      <c r="A43" s="3" t="s">
        <v>125</v>
      </c>
    </row>
    <row r="44" spans="1:5" x14ac:dyDescent="0.2">
      <c r="A44" s="3" t="s">
        <v>126</v>
      </c>
      <c r="B44" s="3" t="s">
        <v>126</v>
      </c>
      <c r="C44" s="3" t="s">
        <v>126</v>
      </c>
    </row>
    <row r="45" spans="1:5" x14ac:dyDescent="0.2">
      <c r="A45" s="3" t="s">
        <v>127</v>
      </c>
    </row>
    <row r="46" spans="1:5" x14ac:dyDescent="0.2">
      <c r="A46" s="3" t="s">
        <v>128</v>
      </c>
      <c r="B46" s="3" t="s">
        <v>128</v>
      </c>
      <c r="C46" s="3" t="s">
        <v>128</v>
      </c>
      <c r="D46" s="3" t="s">
        <v>128</v>
      </c>
    </row>
    <row r="47" spans="1:5" x14ac:dyDescent="0.2">
      <c r="A47" s="3" t="s">
        <v>129</v>
      </c>
    </row>
    <row r="48" spans="1:5" x14ac:dyDescent="0.2">
      <c r="A48" s="3" t="s">
        <v>130</v>
      </c>
      <c r="B48" s="3" t="s">
        <v>130</v>
      </c>
    </row>
    <row r="49" spans="1:6" x14ac:dyDescent="0.2">
      <c r="A49" s="3" t="s">
        <v>131</v>
      </c>
    </row>
    <row r="50" spans="1:6" x14ac:dyDescent="0.2">
      <c r="A50" s="4" t="s">
        <v>132</v>
      </c>
      <c r="B50" s="4" t="s">
        <v>132</v>
      </c>
    </row>
    <row r="51" spans="1:6" x14ac:dyDescent="0.2">
      <c r="A51" s="4" t="s">
        <v>133</v>
      </c>
    </row>
    <row r="52" spans="1:6" x14ac:dyDescent="0.2">
      <c r="A52" s="4" t="s">
        <v>134</v>
      </c>
      <c r="B52" s="4" t="s">
        <v>134</v>
      </c>
      <c r="C52" s="4" t="s">
        <v>134</v>
      </c>
    </row>
    <row r="53" spans="1:6" x14ac:dyDescent="0.2">
      <c r="A53" s="4" t="s">
        <v>135</v>
      </c>
    </row>
    <row r="54" spans="1:6" x14ac:dyDescent="0.2">
      <c r="A54" s="4" t="s">
        <v>136</v>
      </c>
      <c r="B54" s="4" t="s">
        <v>136</v>
      </c>
      <c r="C54" s="4" t="s">
        <v>136</v>
      </c>
      <c r="D54" s="4" t="s">
        <v>136</v>
      </c>
      <c r="E54" s="4" t="s">
        <v>136</v>
      </c>
      <c r="F54" s="4" t="s">
        <v>136</v>
      </c>
    </row>
    <row r="55" spans="1:6" x14ac:dyDescent="0.2">
      <c r="A55" s="4" t="s">
        <v>137</v>
      </c>
    </row>
    <row r="56" spans="1:6" x14ac:dyDescent="0.2">
      <c r="A56" s="4" t="s">
        <v>138</v>
      </c>
      <c r="B56" s="4" t="s">
        <v>138</v>
      </c>
    </row>
    <row r="57" spans="1:6" x14ac:dyDescent="0.2">
      <c r="A57" s="4" t="s">
        <v>139</v>
      </c>
    </row>
    <row r="58" spans="1:6" x14ac:dyDescent="0.2">
      <c r="A58" s="4" t="s">
        <v>140</v>
      </c>
      <c r="B58" s="4" t="s">
        <v>140</v>
      </c>
      <c r="C58" s="4" t="s">
        <v>140</v>
      </c>
    </row>
    <row r="59" spans="1:6" x14ac:dyDescent="0.2">
      <c r="A59" s="4" t="s">
        <v>141</v>
      </c>
    </row>
    <row r="60" spans="1:6" x14ac:dyDescent="0.2">
      <c r="A60" s="4" t="s">
        <v>142</v>
      </c>
      <c r="B60" s="4" t="s">
        <v>142</v>
      </c>
    </row>
    <row r="61" spans="1:6" x14ac:dyDescent="0.2">
      <c r="A61" s="4" t="s">
        <v>143</v>
      </c>
    </row>
    <row r="62" spans="1:6" x14ac:dyDescent="0.2">
      <c r="A62" s="4" t="s">
        <v>144</v>
      </c>
      <c r="B62" s="4" t="s">
        <v>144</v>
      </c>
      <c r="C62" s="4" t="s">
        <v>144</v>
      </c>
      <c r="D62" s="4" t="s">
        <v>144</v>
      </c>
    </row>
    <row r="63" spans="1:6" x14ac:dyDescent="0.2">
      <c r="A63" s="4" t="s">
        <v>145</v>
      </c>
    </row>
    <row r="64" spans="1:6" x14ac:dyDescent="0.2">
      <c r="A64" s="4" t="s">
        <v>146</v>
      </c>
      <c r="B64" s="4" t="s">
        <v>146</v>
      </c>
    </row>
    <row r="65" spans="1:1" x14ac:dyDescent="0.2">
      <c r="A65" s="4" t="s">
        <v>147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B5B9-D864-1B48-899F-30FEF01878A8}">
  <dimension ref="A1:G65"/>
  <sheetViews>
    <sheetView workbookViewId="0">
      <selection activeCell="Q10" sqref="Q10"/>
    </sheetView>
  </sheetViews>
  <sheetFormatPr baseColWidth="10" defaultRowHeight="16" x14ac:dyDescent="0.2"/>
  <cols>
    <col min="1" max="1" width="19" bestFit="1" customWidth="1"/>
    <col min="2" max="2" width="11" bestFit="1" customWidth="1"/>
    <col min="3" max="3" width="8.83203125" bestFit="1" customWidth="1"/>
    <col min="4" max="4" width="6.33203125" bestFit="1" customWidth="1"/>
    <col min="5" max="5" width="6.6640625" bestFit="1" customWidth="1"/>
    <col min="6" max="6" width="12.6640625" bestFit="1" customWidth="1"/>
    <col min="7" max="7" width="7.16406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 t="s">
        <v>35</v>
      </c>
    </row>
    <row r="3" spans="1:7" x14ac:dyDescent="0.2">
      <c r="A3" s="1" t="s">
        <v>36</v>
      </c>
    </row>
    <row r="4" spans="1:7" x14ac:dyDescent="0.2">
      <c r="A4" s="1" t="s">
        <v>37</v>
      </c>
    </row>
    <row r="5" spans="1:7" x14ac:dyDescent="0.2">
      <c r="A5" s="1" t="s">
        <v>38</v>
      </c>
    </row>
    <row r="6" spans="1:7" x14ac:dyDescent="0.2">
      <c r="A6" s="1" t="s">
        <v>39</v>
      </c>
    </row>
    <row r="7" spans="1:7" x14ac:dyDescent="0.2">
      <c r="A7" s="1" t="s">
        <v>40</v>
      </c>
    </row>
    <row r="8" spans="1:7" x14ac:dyDescent="0.2">
      <c r="A8" s="1" t="s">
        <v>41</v>
      </c>
    </row>
    <row r="9" spans="1:7" x14ac:dyDescent="0.2">
      <c r="A9" s="1" t="s">
        <v>27</v>
      </c>
    </row>
    <row r="10" spans="1:7" x14ac:dyDescent="0.2">
      <c r="A10" s="1" t="s">
        <v>42</v>
      </c>
    </row>
    <row r="11" spans="1:7" x14ac:dyDescent="0.2">
      <c r="A11" s="1" t="s">
        <v>43</v>
      </c>
    </row>
    <row r="12" spans="1:7" x14ac:dyDescent="0.2">
      <c r="A12" s="1" t="s">
        <v>44</v>
      </c>
    </row>
    <row r="13" spans="1:7" x14ac:dyDescent="0.2">
      <c r="A13" s="1" t="s">
        <v>45</v>
      </c>
    </row>
    <row r="14" spans="1:7" x14ac:dyDescent="0.2">
      <c r="A14" s="1" t="s">
        <v>46</v>
      </c>
    </row>
    <row r="15" spans="1:7" x14ac:dyDescent="0.2">
      <c r="A15" s="1" t="s">
        <v>47</v>
      </c>
    </row>
    <row r="16" spans="1:7" x14ac:dyDescent="0.2">
      <c r="A16" s="1" t="s">
        <v>48</v>
      </c>
    </row>
    <row r="17" spans="1:1" x14ac:dyDescent="0.2">
      <c r="A17" s="1" t="s">
        <v>49</v>
      </c>
    </row>
    <row r="18" spans="1:1" x14ac:dyDescent="0.2">
      <c r="A18" s="2" t="s">
        <v>50</v>
      </c>
    </row>
    <row r="19" spans="1:1" x14ac:dyDescent="0.2">
      <c r="A19" s="2" t="s">
        <v>51</v>
      </c>
    </row>
    <row r="20" spans="1:1" x14ac:dyDescent="0.2">
      <c r="A20" s="2" t="s">
        <v>92</v>
      </c>
    </row>
    <row r="21" spans="1:1" x14ac:dyDescent="0.2">
      <c r="A21" s="2" t="s">
        <v>52</v>
      </c>
    </row>
    <row r="22" spans="1:1" x14ac:dyDescent="0.2">
      <c r="A22" s="2" t="s">
        <v>53</v>
      </c>
    </row>
    <row r="23" spans="1:1" x14ac:dyDescent="0.2">
      <c r="A23" s="2" t="s">
        <v>54</v>
      </c>
    </row>
    <row r="24" spans="1:1" x14ac:dyDescent="0.2">
      <c r="A24" s="2" t="s">
        <v>55</v>
      </c>
    </row>
    <row r="25" spans="1:1" x14ac:dyDescent="0.2">
      <c r="A25" s="2" t="s">
        <v>56</v>
      </c>
    </row>
    <row r="26" spans="1:1" x14ac:dyDescent="0.2">
      <c r="A26" s="2" t="s">
        <v>57</v>
      </c>
    </row>
    <row r="27" spans="1:1" x14ac:dyDescent="0.2">
      <c r="A27" s="2" t="s">
        <v>58</v>
      </c>
    </row>
    <row r="28" spans="1:1" x14ac:dyDescent="0.2">
      <c r="A28" s="2" t="s">
        <v>59</v>
      </c>
    </row>
    <row r="29" spans="1:1" x14ac:dyDescent="0.2">
      <c r="A29" s="2" t="s">
        <v>60</v>
      </c>
    </row>
    <row r="30" spans="1:1" x14ac:dyDescent="0.2">
      <c r="A30" s="2" t="s">
        <v>61</v>
      </c>
    </row>
    <row r="31" spans="1:1" x14ac:dyDescent="0.2">
      <c r="A31" s="2" t="s">
        <v>62</v>
      </c>
    </row>
    <row r="32" spans="1:1" x14ac:dyDescent="0.2">
      <c r="A32" s="2" t="s">
        <v>63</v>
      </c>
    </row>
    <row r="33" spans="1:1" x14ac:dyDescent="0.2">
      <c r="A33" s="2" t="s">
        <v>64</v>
      </c>
    </row>
    <row r="34" spans="1:1" x14ac:dyDescent="0.2">
      <c r="A34" s="3" t="s">
        <v>65</v>
      </c>
    </row>
    <row r="35" spans="1:1" x14ac:dyDescent="0.2">
      <c r="A35" s="3" t="s">
        <v>87</v>
      </c>
    </row>
    <row r="36" spans="1:1" x14ac:dyDescent="0.2">
      <c r="A36" s="3" t="s">
        <v>66</v>
      </c>
    </row>
    <row r="37" spans="1:1" x14ac:dyDescent="0.2">
      <c r="A37" s="3" t="s">
        <v>67</v>
      </c>
    </row>
    <row r="38" spans="1:1" x14ac:dyDescent="0.2">
      <c r="A38" s="3" t="s">
        <v>68</v>
      </c>
    </row>
    <row r="39" spans="1:1" x14ac:dyDescent="0.2">
      <c r="A39" s="3" t="s">
        <v>69</v>
      </c>
    </row>
    <row r="40" spans="1:1" x14ac:dyDescent="0.2">
      <c r="A40" s="3" t="s">
        <v>70</v>
      </c>
    </row>
    <row r="41" spans="1:1" x14ac:dyDescent="0.2">
      <c r="A41" s="3" t="s">
        <v>71</v>
      </c>
    </row>
    <row r="42" spans="1:1" x14ac:dyDescent="0.2">
      <c r="A42" s="3" t="s">
        <v>28</v>
      </c>
    </row>
    <row r="43" spans="1:1" x14ac:dyDescent="0.2">
      <c r="A43" s="3" t="s">
        <v>72</v>
      </c>
    </row>
    <row r="44" spans="1:1" x14ac:dyDescent="0.2">
      <c r="A44" s="3" t="s">
        <v>73</v>
      </c>
    </row>
    <row r="45" spans="1:1" x14ac:dyDescent="0.2">
      <c r="A45" s="3" t="s">
        <v>74</v>
      </c>
    </row>
    <row r="46" spans="1:1" x14ac:dyDescent="0.2">
      <c r="A46" s="3" t="s">
        <v>75</v>
      </c>
    </row>
    <row r="47" spans="1:1" x14ac:dyDescent="0.2">
      <c r="A47" s="3" t="s">
        <v>76</v>
      </c>
    </row>
    <row r="48" spans="1:1" x14ac:dyDescent="0.2">
      <c r="A48" s="3" t="s">
        <v>77</v>
      </c>
    </row>
    <row r="49" spans="1:1" x14ac:dyDescent="0.2">
      <c r="A49" s="3" t="s">
        <v>78</v>
      </c>
    </row>
    <row r="50" spans="1:1" x14ac:dyDescent="0.2">
      <c r="A50" s="4" t="s">
        <v>0</v>
      </c>
    </row>
    <row r="51" spans="1:1" x14ac:dyDescent="0.2">
      <c r="A51" s="4" t="s">
        <v>79</v>
      </c>
    </row>
    <row r="52" spans="1:1" x14ac:dyDescent="0.2">
      <c r="A52" s="4" t="s">
        <v>80</v>
      </c>
    </row>
    <row r="53" spans="1:1" x14ac:dyDescent="0.2">
      <c r="A53" s="4" t="s">
        <v>81</v>
      </c>
    </row>
    <row r="54" spans="1:1" x14ac:dyDescent="0.2">
      <c r="A54" s="4" t="s">
        <v>82</v>
      </c>
    </row>
    <row r="55" spans="1:1" x14ac:dyDescent="0.2">
      <c r="A55" s="4" t="s">
        <v>30</v>
      </c>
    </row>
    <row r="56" spans="1:1" x14ac:dyDescent="0.2">
      <c r="A56" s="4" t="s">
        <v>83</v>
      </c>
    </row>
    <row r="57" spans="1:1" x14ac:dyDescent="0.2">
      <c r="A57" s="4" t="s">
        <v>84</v>
      </c>
    </row>
    <row r="58" spans="1:1" x14ac:dyDescent="0.2">
      <c r="A58" s="4" t="s">
        <v>85</v>
      </c>
    </row>
    <row r="59" spans="1:1" x14ac:dyDescent="0.2">
      <c r="A59" s="4" t="s">
        <v>86</v>
      </c>
    </row>
    <row r="60" spans="1:1" x14ac:dyDescent="0.2">
      <c r="A60" s="4" t="s">
        <v>29</v>
      </c>
    </row>
    <row r="61" spans="1:1" x14ac:dyDescent="0.2">
      <c r="A61" s="4" t="s">
        <v>88</v>
      </c>
    </row>
    <row r="62" spans="1:1" x14ac:dyDescent="0.2">
      <c r="A62" s="4" t="s">
        <v>89</v>
      </c>
    </row>
    <row r="63" spans="1:1" x14ac:dyDescent="0.2">
      <c r="A63" s="4" t="s">
        <v>90</v>
      </c>
    </row>
    <row r="64" spans="1:1" x14ac:dyDescent="0.2">
      <c r="A64" s="4" t="s">
        <v>31</v>
      </c>
    </row>
    <row r="65" spans="1:1" x14ac:dyDescent="0.2">
      <c r="A65" s="4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Actual Results</vt:lpstr>
      <vt:lpstr>Shawn</vt:lpstr>
      <vt:lpstr>Maren</vt:lpstr>
      <vt:lpstr>Elaine</vt:lpstr>
      <vt:lpstr>Colombina</vt:lpstr>
      <vt:lpstr>Roman</vt:lpstr>
      <vt:lpstr>Eli</vt:lpstr>
      <vt:lpstr>Pete</vt:lpstr>
      <vt:lpstr>Arden</vt:lpstr>
      <vt:lpstr>Henny</vt:lpstr>
      <vt:lpstr>Sarah</vt:lpstr>
      <vt:lpstr>Chalamet</vt:lpstr>
      <vt:lpstr>Cynthia</vt:lpstr>
      <vt:lpstr>Tim</vt:lpstr>
      <vt:lpstr>Emma</vt:lpstr>
      <vt:lpstr>Mary</vt:lpstr>
      <vt:lpstr>Chad</vt:lpstr>
      <vt:lpstr>Truett</vt:lpstr>
      <vt:lpstr>Lucia</vt:lpstr>
      <vt:lpstr>Sabine</vt:lpstr>
      <vt:lpstr>Pia</vt:lpstr>
      <vt:lpstr>August</vt:lpstr>
      <vt:lpstr>Penny</vt:lpstr>
      <vt:lpstr>Don</vt:lpstr>
      <vt:lpstr>Indie</vt:lpstr>
      <vt:lpstr>Winter</vt:lpstr>
      <vt:lpstr>Contestant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Terryah Shawn</cp:lastModifiedBy>
  <dcterms:created xsi:type="dcterms:W3CDTF">2023-03-13T13:02:03Z</dcterms:created>
  <dcterms:modified xsi:type="dcterms:W3CDTF">2026-03-23T13:33:51Z</dcterms:modified>
</cp:coreProperties>
</file>